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Рычаги" sheetId="1" state="visible" r:id="rId3"/>
    <sheet name="Модель" sheetId="2" state="visible" r:id="rId4"/>
    <sheet name="Проверки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<sst xmlns="http://schemas.openxmlformats.org/spreadsheetml/2006/main" count="133" uniqueCount="97">
  <si>
    <t xml:space="preserve">Рычаги финмодели WIF</t>
  </si>
  <si>
    <t xml:space="preserve">Синим — то, что правится руками. Жёлтым — допущения, которых в стратегии нет и которые первыми надо заменить фактом.</t>
  </si>
  <si>
    <t xml:space="preserve">Рычаг</t>
  </si>
  <si>
    <t xml:space="preserve">Значение</t>
  </si>
  <si>
    <t xml:space="preserve">Откуда</t>
  </si>
  <si>
    <t xml:space="preserve">ТРУД · ИИ-СОТРУДНИКИ</t>
  </si>
  <si>
    <t xml:space="preserve">Средний платёж на старте, $/мес</t>
  </si>
  <si>
    <t xml:space="preserve">target-state-18m.md, roles.md: первые контракты от $5 тыс.</t>
  </si>
  <si>
    <t xml:space="preserve">Средний платёж к мес. 18, $/мес</t>
  </si>
  <si>
    <t xml:space="preserve">target-state-18m.md</t>
  </si>
  <si>
    <t xml:space="preserve">Отток компаний в месяц</t>
  </si>
  <si>
    <t xml:space="preserve">target-state-18m.md: не выше 1%</t>
  </si>
  <si>
    <t xml:space="preserve">Цена пилота, $ разово</t>
  </si>
  <si>
    <t xml:space="preserve">90-day-plan.md: $3–5 тыс., оплата вперёд</t>
  </si>
  <si>
    <t xml:space="preserve">Месяц выхода на платящих</t>
  </si>
  <si>
    <t xml:space="preserve">roles.md: мес. 6 — первые контракты $5 тыс./мес</t>
  </si>
  <si>
    <t xml:space="preserve">ЛИЧНОСТЬ · ПЕРСОНАЖИ</t>
  </si>
  <si>
    <t xml:space="preserve">Цена подписки, $/мес</t>
  </si>
  <si>
    <t xml:space="preserve">Отток подписчиков в месяц</t>
  </si>
  <si>
    <t xml:space="preserve">Конверсия посетителя в подписку</t>
  </si>
  <si>
    <t xml:space="preserve">Средний чек сделки с брендом, $</t>
  </si>
  <si>
    <t xml:space="preserve">КАПИТАЛ · УЧЁТ РАСХОДОВ НА ИИ</t>
  </si>
  <si>
    <t xml:space="preserve">Допущение: в стратегии нет. Ориентир — оффер $500–2000/мес из 90-day-plan.md</t>
  </si>
  <si>
    <t xml:space="preserve">Допущение: в стратегии нет. Самообслуживание, отток выше, чем в Труде</t>
  </si>
  <si>
    <t xml:space="preserve">КОМАНДА</t>
  </si>
  <si>
    <t xml:space="preserve">Полная стоимость ставки, $/год</t>
  </si>
  <si>
    <t xml:space="preserve">roles.md: вилка $120–200 тыс. Взята середина — допущение</t>
  </si>
  <si>
    <t xml:space="preserve">ДЕНЬГИ</t>
  </si>
  <si>
    <t xml:space="preserve">Раунд, $</t>
  </si>
  <si>
    <t xml:space="preserve">Дека v10, слайд 12</t>
  </si>
  <si>
    <t xml:space="preserve">Этап 1, мес. 1–3, $</t>
  </si>
  <si>
    <t xml:space="preserve">90-day-plan.md, дека v10 слайд 14</t>
  </si>
  <si>
    <t xml:space="preserve">Этап 2, мес. 4–6, $</t>
  </si>
  <si>
    <t xml:space="preserve">Дека v10, слайд 14</t>
  </si>
  <si>
    <t xml:space="preserve">Этап 3, мес. 7–12, $</t>
  </si>
  <si>
    <t xml:space="preserve">Этап 4, мес. 13–18, $</t>
  </si>
  <si>
    <t xml:space="preserve">Резерв, $</t>
  </si>
  <si>
    <t xml:space="preserve">Модель по месяцам · базовый сценарий</t>
  </si>
  <si>
    <t xml:space="preserve">Синие строки — вводные: поток новых клиентов (план продаж), визиты, штат, расход. Всё остальное — формулы: база = прошлый месяц − ROUND(прошлый × отток) + новые, все штуки целые. Поменяй поток или отток — пересчитается выручка, касса и проверки.</t>
  </si>
  <si>
    <t xml:space="preserve">Месяц</t>
  </si>
  <si>
    <t xml:space="preserve">Единица</t>
  </si>
  <si>
    <t xml:space="preserve">Новых компаний за месяц</t>
  </si>
  <si>
    <t xml:space="preserve">шт.</t>
  </si>
  <si>
    <t xml:space="preserve">Активных компаний</t>
  </si>
  <si>
    <t xml:space="preserve">Средний платёж</t>
  </si>
  <si>
    <t xml:space="preserve">$/мес</t>
  </si>
  <si>
    <t xml:space="preserve">Пилотов запущено</t>
  </si>
  <si>
    <t xml:space="preserve">Выручка Труда</t>
  </si>
  <si>
    <t xml:space="preserve">Визитов на платное предложение</t>
  </si>
  <si>
    <t xml:space="preserve">чел./мес</t>
  </si>
  <si>
    <t xml:space="preserve">Новых подписчиков за месяц</t>
  </si>
  <si>
    <t xml:space="preserve">чел.</t>
  </si>
  <si>
    <t xml:space="preserve">Платных подписчиков</t>
  </si>
  <si>
    <t xml:space="preserve">Выручка подписки</t>
  </si>
  <si>
    <t xml:space="preserve">Сделок с брендами</t>
  </si>
  <si>
    <t xml:space="preserve">шт./мес</t>
  </si>
  <si>
    <t xml:space="preserve">Выручка от брендов</t>
  </si>
  <si>
    <t xml:space="preserve">Платящих компаний</t>
  </si>
  <si>
    <t xml:space="preserve">Выручка Капитала</t>
  </si>
  <si>
    <t xml:space="preserve">ВЫРУЧКА</t>
  </si>
  <si>
    <t xml:space="preserve">Выручка всего</t>
  </si>
  <si>
    <t xml:space="preserve">ARR (без брендов и пилотов)</t>
  </si>
  <si>
    <t xml:space="preserve">$</t>
  </si>
  <si>
    <t xml:space="preserve">РАСХОДЫ И ДЕНЬГИ</t>
  </si>
  <si>
    <t xml:space="preserve">Штат</t>
  </si>
  <si>
    <t xml:space="preserve">ставок</t>
  </si>
  <si>
    <t xml:space="preserve">ФОТ</t>
  </si>
  <si>
    <t xml:space="preserve">Расход всего</t>
  </si>
  <si>
    <t xml:space="preserve">В том числе всё, кроме людей</t>
  </si>
  <si>
    <t xml:space="preserve">Чистый поток</t>
  </si>
  <si>
    <t xml:space="preserve">Деньги на счету</t>
  </si>
  <si>
    <t xml:space="preserve">Сверка с бюджетом этапов (должно быть 0)</t>
  </si>
  <si>
    <t xml:space="preserve">Этап 1: расход по месяцам минус бюджет</t>
  </si>
  <si>
    <t xml:space="preserve">Этап 2: расход по месяцам минус бюджет</t>
  </si>
  <si>
    <t xml:space="preserve">Этап 3: расход по месяцам минус бюджет</t>
  </si>
  <si>
    <t xml:space="preserve">Этап 4: расход по месяцам минус бюджет</t>
  </si>
  <si>
    <t xml:space="preserve">Сходимость со стратегией</t>
  </si>
  <si>
    <t xml:space="preserve">Модель считает по своим формулам, колонка «В стратегии» — то, что написано в target-state-18m.md и деке v10. «Не меньше» — цель со знаком «+», засчитывается от 85%. Расхождение означает, что в одном из двух мест цифру надо поправить.</t>
  </si>
  <si>
    <t xml:space="preserve">Что сверяем</t>
  </si>
  <si>
    <t xml:space="preserve">В стратегии</t>
  </si>
  <si>
    <t xml:space="preserve">В модели</t>
  </si>
  <si>
    <t xml:space="preserve">Сходится</t>
  </si>
  <si>
    <t xml:space="preserve">ARR группы в 18-м месяце</t>
  </si>
  <si>
    <t xml:space="preserve">Выручка 18-го месяца без брендов</t>
  </si>
  <si>
    <t xml:space="preserve">Выручка 18-го месяца с брендами</t>
  </si>
  <si>
    <t xml:space="preserve">Расход 18-го месяца</t>
  </si>
  <si>
    <t xml:space="preserve">Чистый поток 18-го месяца</t>
  </si>
  <si>
    <t xml:space="preserve">Деньги на счету в 18-м месяце</t>
  </si>
  <si>
    <t xml:space="preserve">Труд: база в мес. 6, не меньше</t>
  </si>
  <si>
    <t xml:space="preserve">Труд: база в мес. 15, не меньше</t>
  </si>
  <si>
    <t xml:space="preserve">Труд: база в мес. 18</t>
  </si>
  <si>
    <t xml:space="preserve">Капитал: база в мес. 6, не меньше</t>
  </si>
  <si>
    <t xml:space="preserve">Капитал: база в мес. 15, не меньше</t>
  </si>
  <si>
    <t xml:space="preserve">Капитал: база в мес. 18</t>
  </si>
  <si>
    <t xml:space="preserve">Личность: подписчиков в мес. 18</t>
  </si>
  <si>
    <t xml:space="preserve">Штат к 18-му месяцу</t>
  </si>
  <si>
    <t xml:space="preserve">Допуск для точных целей — в формуле колонки «Сходится», под порядок величины.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</si>
</sst>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"/>
    <numFmt numFmtId="167" formatCode="#,##0;\(#,##0\);\-"/>
    <numFmt numFmtId="168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6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4"/>
      <c r="C5" s="4"/>
    </row>
    <row r="6" customFormat="false" ht="15" hidden="false" customHeight="false" outlineLevel="0" collapsed="false">
      <c r="A6" s="5" t="s">
        <v>6</v>
      </c>
      <c r="B6" s="6" t="n">
        <v>5000</v>
      </c>
      <c r="C6" s="2" t="s">
        <v>7</v>
      </c>
    </row>
    <row r="7" customFormat="false" ht="15" hidden="false" customHeight="false" outlineLevel="0" collapsed="false">
      <c r="A7" s="5" t="s">
        <v>8</v>
      </c>
      <c r="B7" s="6" t="n">
        <v>15000</v>
      </c>
      <c r="C7" s="2" t="s">
        <v>9</v>
      </c>
    </row>
    <row r="8" customFormat="false" ht="15" hidden="false" customHeight="false" outlineLevel="0" collapsed="false">
      <c r="A8" s="5" t="s">
        <v>10</v>
      </c>
      <c r="B8" s="7" t="n">
        <v>0.01</v>
      </c>
      <c r="C8" s="2" t="s">
        <v>11</v>
      </c>
    </row>
    <row r="9" customFormat="false" ht="15" hidden="false" customHeight="false" outlineLevel="0" collapsed="false">
      <c r="A9" s="5" t="s">
        <v>12</v>
      </c>
      <c r="B9" s="6" t="n">
        <v>4000</v>
      </c>
      <c r="C9" s="2" t="s">
        <v>13</v>
      </c>
    </row>
    <row r="10" customFormat="false" ht="15" hidden="false" customHeight="false" outlineLevel="0" collapsed="false">
      <c r="A10" s="5" t="s">
        <v>14</v>
      </c>
      <c r="B10" s="8" t="n">
        <v>6</v>
      </c>
      <c r="C10" s="2" t="s">
        <v>15</v>
      </c>
    </row>
    <row r="11" customFormat="false" ht="15" hidden="false" customHeight="false" outlineLevel="0" collapsed="false">
      <c r="A11" s="4" t="s">
        <v>16</v>
      </c>
      <c r="B11" s="4"/>
      <c r="C11" s="4"/>
    </row>
    <row r="12" customFormat="false" ht="15" hidden="false" customHeight="false" outlineLevel="0" collapsed="false">
      <c r="A12" s="5" t="s">
        <v>17</v>
      </c>
      <c r="B12" s="8" t="n">
        <v>10</v>
      </c>
      <c r="C12" s="2" t="s">
        <v>9</v>
      </c>
    </row>
    <row r="13" customFormat="false" ht="15" hidden="false" customHeight="false" outlineLevel="0" collapsed="false">
      <c r="A13" s="5" t="s">
        <v>18</v>
      </c>
      <c r="B13" s="7" t="n">
        <v>0.08</v>
      </c>
      <c r="C13" s="2" t="s">
        <v>9</v>
      </c>
    </row>
    <row r="14" customFormat="false" ht="15" hidden="false" customHeight="false" outlineLevel="0" collapsed="false">
      <c r="A14" s="5" t="s">
        <v>19</v>
      </c>
      <c r="B14" s="7" t="n">
        <v>0.01</v>
      </c>
      <c r="C14" s="2" t="s">
        <v>9</v>
      </c>
    </row>
    <row r="15" customFormat="false" ht="15" hidden="false" customHeight="false" outlineLevel="0" collapsed="false">
      <c r="A15" s="5" t="s">
        <v>20</v>
      </c>
      <c r="B15" s="6" t="n">
        <v>50000</v>
      </c>
      <c r="C15" s="2" t="s">
        <v>9</v>
      </c>
    </row>
    <row r="16" customFormat="false" ht="15" hidden="false" customHeight="false" outlineLevel="0" collapsed="false">
      <c r="A16" s="4" t="s">
        <v>21</v>
      </c>
      <c r="B16" s="4"/>
      <c r="C16" s="4"/>
    </row>
    <row r="17" customFormat="false" ht="15" hidden="false" customHeight="false" outlineLevel="0" collapsed="false">
      <c r="A17" s="5" t="s">
        <v>6</v>
      </c>
      <c r="B17" s="9" t="n">
        <v>800</v>
      </c>
      <c r="C17" s="2" t="s">
        <v>22</v>
      </c>
    </row>
    <row r="18" customFormat="false" ht="15" hidden="false" customHeight="false" outlineLevel="0" collapsed="false">
      <c r="A18" s="5" t="s">
        <v>8</v>
      </c>
      <c r="B18" s="6" t="n">
        <v>2000</v>
      </c>
      <c r="C18" s="2" t="s">
        <v>9</v>
      </c>
    </row>
    <row r="19" customFormat="false" ht="15" hidden="false" customHeight="false" outlineLevel="0" collapsed="false">
      <c r="A19" s="5" t="s">
        <v>10</v>
      </c>
      <c r="B19" s="10" t="n">
        <v>0.015</v>
      </c>
      <c r="C19" s="2" t="s">
        <v>23</v>
      </c>
    </row>
    <row r="20" customFormat="false" ht="15" hidden="false" customHeight="false" outlineLevel="0" collapsed="false">
      <c r="A20" s="4" t="s">
        <v>24</v>
      </c>
      <c r="B20" s="4"/>
      <c r="C20" s="4"/>
    </row>
    <row r="21" customFormat="false" ht="15" hidden="false" customHeight="false" outlineLevel="0" collapsed="false">
      <c r="A21" s="5" t="s">
        <v>25</v>
      </c>
      <c r="B21" s="9" t="n">
        <v>150000</v>
      </c>
      <c r="C21" s="2" t="s">
        <v>26</v>
      </c>
    </row>
    <row r="22" customFormat="false" ht="15" hidden="false" customHeight="false" outlineLevel="0" collapsed="false">
      <c r="A22" s="4" t="s">
        <v>27</v>
      </c>
      <c r="B22" s="4"/>
      <c r="C22" s="4"/>
    </row>
    <row r="23" customFormat="false" ht="15" hidden="false" customHeight="false" outlineLevel="0" collapsed="false">
      <c r="A23" s="5" t="s">
        <v>28</v>
      </c>
      <c r="B23" s="6" t="n">
        <v>50000000</v>
      </c>
      <c r="C23" s="2" t="s">
        <v>29</v>
      </c>
    </row>
    <row r="24" customFormat="false" ht="15" hidden="false" customHeight="false" outlineLevel="0" collapsed="false">
      <c r="A24" s="5" t="s">
        <v>30</v>
      </c>
      <c r="B24" s="6" t="n">
        <v>3710000</v>
      </c>
      <c r="C24" s="2" t="s">
        <v>31</v>
      </c>
    </row>
    <row r="25" customFormat="false" ht="15" hidden="false" customHeight="false" outlineLevel="0" collapsed="false">
      <c r="A25" s="5" t="s">
        <v>32</v>
      </c>
      <c r="B25" s="6" t="n">
        <v>5700000</v>
      </c>
      <c r="C25" s="2" t="s">
        <v>33</v>
      </c>
    </row>
    <row r="26" customFormat="false" ht="15" hidden="false" customHeight="false" outlineLevel="0" collapsed="false">
      <c r="A26" s="5" t="s">
        <v>34</v>
      </c>
      <c r="B26" s="6" t="n">
        <v>14200000</v>
      </c>
      <c r="C26" s="2" t="s">
        <v>33</v>
      </c>
    </row>
    <row r="27" customFormat="false" ht="15" hidden="false" customHeight="false" outlineLevel="0" collapsed="false">
      <c r="A27" s="5" t="s">
        <v>35</v>
      </c>
      <c r="B27" s="6" t="n">
        <v>18400000</v>
      </c>
      <c r="C27" s="2" t="s">
        <v>33</v>
      </c>
    </row>
    <row r="28" customFormat="false" ht="15" hidden="false" customHeight="false" outlineLevel="0" collapsed="false">
      <c r="A28" s="5" t="s">
        <v>36</v>
      </c>
      <c r="B28" s="6" t="n">
        <v>8000000</v>
      </c>
      <c r="C28" s="2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1"/>
    <col collapsed="false" customWidth="true" hidden="false" outlineLevel="0" max="20" min="3" style="0" width="10"/>
  </cols>
  <sheetData>
    <row r="1" customFormat="false" ht="16.15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4" customFormat="false" ht="15" hidden="false" customHeight="false" outlineLevel="0" collapsed="false">
      <c r="A4" s="3" t="s">
        <v>39</v>
      </c>
      <c r="B4" s="3" t="s">
        <v>40</v>
      </c>
      <c r="C4" s="11" t="n">
        <v>1</v>
      </c>
      <c r="D4" s="11" t="n">
        <v>2</v>
      </c>
      <c r="E4" s="11" t="n">
        <v>3</v>
      </c>
      <c r="F4" s="11" t="n">
        <v>4</v>
      </c>
      <c r="G4" s="11" t="n">
        <v>5</v>
      </c>
      <c r="H4" s="11" t="n">
        <v>6</v>
      </c>
      <c r="I4" s="11" t="n">
        <v>7</v>
      </c>
      <c r="J4" s="11" t="n">
        <v>8</v>
      </c>
      <c r="K4" s="11" t="n">
        <v>9</v>
      </c>
      <c r="L4" s="11" t="n">
        <v>10</v>
      </c>
      <c r="M4" s="11" t="n">
        <v>11</v>
      </c>
      <c r="N4" s="11" t="n">
        <v>12</v>
      </c>
      <c r="O4" s="11" t="n">
        <v>13</v>
      </c>
      <c r="P4" s="11" t="n">
        <v>14</v>
      </c>
      <c r="Q4" s="11" t="n">
        <v>15</v>
      </c>
      <c r="R4" s="11" t="n">
        <v>16</v>
      </c>
      <c r="S4" s="11" t="n">
        <v>17</v>
      </c>
      <c r="T4" s="11" t="n">
        <v>18</v>
      </c>
    </row>
    <row r="5" customFormat="false" ht="15" hidden="false" customHeight="fals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</row>
    <row r="6" customFormat="false" ht="15" hidden="false" customHeight="false" outlineLevel="0" collapsed="false">
      <c r="A6" s="5" t="s">
        <v>41</v>
      </c>
      <c r="B6" s="2" t="s">
        <v>42</v>
      </c>
      <c r="C6" s="12" t="n">
        <v>0</v>
      </c>
      <c r="D6" s="12" t="n">
        <v>0</v>
      </c>
      <c r="E6" s="12" t="n">
        <v>0</v>
      </c>
      <c r="F6" s="12" t="n">
        <v>2</v>
      </c>
      <c r="G6" s="12" t="n">
        <v>3</v>
      </c>
      <c r="H6" s="12" t="n">
        <v>5</v>
      </c>
      <c r="I6" s="12" t="n">
        <v>5</v>
      </c>
      <c r="J6" s="12" t="n">
        <v>6</v>
      </c>
      <c r="K6" s="12" t="n">
        <v>7</v>
      </c>
      <c r="L6" s="12" t="n">
        <v>9</v>
      </c>
      <c r="M6" s="12" t="n">
        <v>11</v>
      </c>
      <c r="N6" s="12" t="n">
        <v>12</v>
      </c>
      <c r="O6" s="12" t="n">
        <v>14</v>
      </c>
      <c r="P6" s="12" t="n">
        <v>15</v>
      </c>
      <c r="Q6" s="12" t="n">
        <v>17</v>
      </c>
      <c r="R6" s="12" t="n">
        <v>18</v>
      </c>
      <c r="S6" s="12" t="n">
        <v>20</v>
      </c>
      <c r="T6" s="12" t="n">
        <v>21</v>
      </c>
    </row>
    <row r="7" customFormat="false" ht="15" hidden="false" customHeight="false" outlineLevel="0" collapsed="false">
      <c r="A7" s="5" t="s">
        <v>43</v>
      </c>
      <c r="B7" s="2" t="s">
        <v>42</v>
      </c>
      <c r="C7" s="13" t="n">
        <f aca="false">C6</f>
        <v>0</v>
      </c>
      <c r="D7" s="13" t="n">
        <f aca="false">C7-ROUND(C7*Рычаги!$B$8,0)+D6</f>
        <v>0</v>
      </c>
      <c r="E7" s="13" t="n">
        <f aca="false">D7-ROUND(D7*Рычаги!$B$8,0)+E6</f>
        <v>0</v>
      </c>
      <c r="F7" s="13" t="n">
        <f aca="false">E7-ROUND(E7*Рычаги!$B$8,0)+F6</f>
        <v>2</v>
      </c>
      <c r="G7" s="13" t="n">
        <f aca="false">F7-ROUND(F7*Рычаги!$B$8,0)+G6</f>
        <v>5</v>
      </c>
      <c r="H7" s="13" t="n">
        <f aca="false">G7-ROUND(G7*Рычаги!$B$8,0)+H6</f>
        <v>10</v>
      </c>
      <c r="I7" s="13" t="n">
        <f aca="false">H7-ROUND(H7*Рычаги!$B$8,0)+I6</f>
        <v>15</v>
      </c>
      <c r="J7" s="13" t="n">
        <f aca="false">I7-ROUND(I7*Рычаги!$B$8,0)+J6</f>
        <v>21</v>
      </c>
      <c r="K7" s="13" t="n">
        <f aca="false">J7-ROUND(J7*Рычаги!$B$8,0)+K6</f>
        <v>28</v>
      </c>
      <c r="L7" s="13" t="n">
        <f aca="false">K7-ROUND(K7*Рычаги!$B$8,0)+L6</f>
        <v>37</v>
      </c>
      <c r="M7" s="13" t="n">
        <f aca="false">L7-ROUND(L7*Рычаги!$B$8,0)+M6</f>
        <v>48</v>
      </c>
      <c r="N7" s="13" t="n">
        <f aca="false">M7-ROUND(M7*Рычаги!$B$8,0)+N6</f>
        <v>60</v>
      </c>
      <c r="O7" s="13" t="n">
        <f aca="false">N7-ROUND(N7*Рычаги!$B$8,0)+O6</f>
        <v>73</v>
      </c>
      <c r="P7" s="13" t="n">
        <f aca="false">O7-ROUND(O7*Рычаги!$B$8,0)+P6</f>
        <v>87</v>
      </c>
      <c r="Q7" s="13" t="n">
        <f aca="false">P7-ROUND(P7*Рычаги!$B$8,0)+Q6</f>
        <v>103</v>
      </c>
      <c r="R7" s="13" t="n">
        <f aca="false">Q7-ROUND(Q7*Рычаги!$B$8,0)+R6</f>
        <v>120</v>
      </c>
      <c r="S7" s="13" t="n">
        <f aca="false">R7-ROUND(R7*Рычаги!$B$8,0)+S6</f>
        <v>139</v>
      </c>
      <c r="T7" s="13" t="n">
        <f aca="false">S7-ROUND(S7*Рычаги!$B$8,0)+T6</f>
        <v>159</v>
      </c>
    </row>
    <row r="8" customFormat="false" ht="15" hidden="false" customHeight="false" outlineLevel="0" collapsed="false">
      <c r="A8" s="5" t="s">
        <v>44</v>
      </c>
      <c r="B8" s="2" t="s">
        <v>45</v>
      </c>
      <c r="C8" s="14" t="n">
        <f aca="false">IF(1&lt;Рычаги!$B$10,0,MIN(Рычаги!$B$7,Рычаги!$B$6+(Рычаги!$B$7-Рычаги!$B$6)*(1-Рычаги!$B$10)/(18-Рычаги!$B$10)))</f>
        <v>0</v>
      </c>
      <c r="D8" s="14" t="n">
        <f aca="false">IF(2&lt;Рычаги!$B$10,0,MIN(Рычаги!$B$7,Рычаги!$B$6+(Рычаги!$B$7-Рычаги!$B$6)*(2-Рычаги!$B$10)/(18-Рычаги!$B$10)))</f>
        <v>0</v>
      </c>
      <c r="E8" s="14" t="n">
        <f aca="false">IF(3&lt;Рычаги!$B$10,0,MIN(Рычаги!$B$7,Рычаги!$B$6+(Рычаги!$B$7-Рычаги!$B$6)*(3-Рычаги!$B$10)/(18-Рычаги!$B$10)))</f>
        <v>0</v>
      </c>
      <c r="F8" s="14" t="n">
        <f aca="false">IF(4&lt;Рычаги!$B$10,0,MIN(Рычаги!$B$7,Рычаги!$B$6+(Рычаги!$B$7-Рычаги!$B$6)*(4-Рычаги!$B$10)/(18-Рычаги!$B$10)))</f>
        <v>0</v>
      </c>
      <c r="G8" s="14" t="n">
        <f aca="false">IF(5&lt;Рычаги!$B$10,0,MIN(Рычаги!$B$7,Рычаги!$B$6+(Рычаги!$B$7-Рычаги!$B$6)*(5-Рычаги!$B$10)/(18-Рычаги!$B$10)))</f>
        <v>0</v>
      </c>
      <c r="H8" s="14" t="n">
        <f aca="false">IF(6&lt;Рычаги!$B$10,0,MIN(Рычаги!$B$7,Рычаги!$B$6+(Рычаги!$B$7-Рычаги!$B$6)*(6-Рычаги!$B$10)/(18-Рычаги!$B$10)))</f>
        <v>5000</v>
      </c>
      <c r="I8" s="14" t="n">
        <f aca="false">IF(7&lt;Рычаги!$B$10,0,MIN(Рычаги!$B$7,Рычаги!$B$6+(Рычаги!$B$7-Рычаги!$B$6)*(7-Рычаги!$B$10)/(18-Рычаги!$B$10)))</f>
        <v>5833.33333333333</v>
      </c>
      <c r="J8" s="14" t="n">
        <f aca="false">IF(8&lt;Рычаги!$B$10,0,MIN(Рычаги!$B$7,Рычаги!$B$6+(Рычаги!$B$7-Рычаги!$B$6)*(8-Рычаги!$B$10)/(18-Рычаги!$B$10)))</f>
        <v>6666.66666666667</v>
      </c>
      <c r="K8" s="14" t="n">
        <f aca="false">IF(9&lt;Рычаги!$B$10,0,MIN(Рычаги!$B$7,Рычаги!$B$6+(Рычаги!$B$7-Рычаги!$B$6)*(9-Рычаги!$B$10)/(18-Рычаги!$B$10)))</f>
        <v>7500</v>
      </c>
      <c r="L8" s="14" t="n">
        <f aca="false">IF(10&lt;Рычаги!$B$10,0,MIN(Рычаги!$B$7,Рычаги!$B$6+(Рычаги!$B$7-Рычаги!$B$6)*(10-Рычаги!$B$10)/(18-Рычаги!$B$10)))</f>
        <v>8333.33333333333</v>
      </c>
      <c r="M8" s="14" t="n">
        <f aca="false">IF(11&lt;Рычаги!$B$10,0,MIN(Рычаги!$B$7,Рычаги!$B$6+(Рычаги!$B$7-Рычаги!$B$6)*(11-Рычаги!$B$10)/(18-Рычаги!$B$10)))</f>
        <v>9166.66666666667</v>
      </c>
      <c r="N8" s="14" t="n">
        <f aca="false">IF(12&lt;Рычаги!$B$10,0,MIN(Рычаги!$B$7,Рычаги!$B$6+(Рычаги!$B$7-Рычаги!$B$6)*(12-Рычаги!$B$10)/(18-Рычаги!$B$10)))</f>
        <v>10000</v>
      </c>
      <c r="O8" s="14" t="n">
        <f aca="false">IF(13&lt;Рычаги!$B$10,0,MIN(Рычаги!$B$7,Рычаги!$B$6+(Рычаги!$B$7-Рычаги!$B$6)*(13-Рычаги!$B$10)/(18-Рычаги!$B$10)))</f>
        <v>10833.3333333333</v>
      </c>
      <c r="P8" s="14" t="n">
        <f aca="false">IF(14&lt;Рычаги!$B$10,0,MIN(Рычаги!$B$7,Рычаги!$B$6+(Рычаги!$B$7-Рычаги!$B$6)*(14-Рычаги!$B$10)/(18-Рычаги!$B$10)))</f>
        <v>11666.6666666667</v>
      </c>
      <c r="Q8" s="14" t="n">
        <f aca="false">IF(15&lt;Рычаги!$B$10,0,MIN(Рычаги!$B$7,Рычаги!$B$6+(Рычаги!$B$7-Рычаги!$B$6)*(15-Рычаги!$B$10)/(18-Рычаги!$B$10)))</f>
        <v>12500</v>
      </c>
      <c r="R8" s="14" t="n">
        <f aca="false">IF(16&lt;Рычаги!$B$10,0,MIN(Рычаги!$B$7,Рычаги!$B$6+(Рычаги!$B$7-Рычаги!$B$6)*(16-Рычаги!$B$10)/(18-Рычаги!$B$10)))</f>
        <v>13333.3333333333</v>
      </c>
      <c r="S8" s="14" t="n">
        <f aca="false">IF(17&lt;Рычаги!$B$10,0,MIN(Рычаги!$B$7,Рычаги!$B$6+(Рычаги!$B$7-Рычаги!$B$6)*(17-Рычаги!$B$10)/(18-Рычаги!$B$10)))</f>
        <v>14166.6666666667</v>
      </c>
      <c r="T8" s="14" t="n">
        <f aca="false">IF(18&lt;Рычаги!$B$10,0,MIN(Рычаги!$B$7,Рычаги!$B$6+(Рычаги!$B$7-Рычаги!$B$6)*(18-Рычаги!$B$10)/(18-Рычаги!$B$10)))</f>
        <v>15000</v>
      </c>
    </row>
    <row r="9" customFormat="false" ht="15" hidden="false" customHeight="false" outlineLevel="0" collapsed="false">
      <c r="A9" s="5" t="s">
        <v>46</v>
      </c>
      <c r="B9" s="2" t="s">
        <v>42</v>
      </c>
      <c r="C9" s="12" t="n">
        <v>0</v>
      </c>
      <c r="D9" s="12" t="n">
        <v>1</v>
      </c>
      <c r="E9" s="12" t="n">
        <v>2</v>
      </c>
      <c r="F9" s="12" t="n">
        <v>2</v>
      </c>
      <c r="G9" s="12" t="n">
        <v>2</v>
      </c>
      <c r="H9" s="12" t="n">
        <v>0</v>
      </c>
      <c r="I9" s="12" t="n">
        <v>0</v>
      </c>
      <c r="J9" s="12" t="n">
        <v>0</v>
      </c>
      <c r="K9" s="12" t="n">
        <v>0</v>
      </c>
      <c r="L9" s="12" t="n">
        <v>0</v>
      </c>
      <c r="M9" s="12" t="n">
        <v>0</v>
      </c>
      <c r="N9" s="12" t="n">
        <v>0</v>
      </c>
      <c r="O9" s="12" t="n">
        <v>0</v>
      </c>
      <c r="P9" s="12" t="n">
        <v>0</v>
      </c>
      <c r="Q9" s="12" t="n">
        <v>0</v>
      </c>
      <c r="R9" s="12" t="n">
        <v>0</v>
      </c>
      <c r="S9" s="12" t="n">
        <v>0</v>
      </c>
      <c r="T9" s="12" t="n">
        <v>0</v>
      </c>
    </row>
    <row r="10" customFormat="false" ht="15" hidden="false" customHeight="false" outlineLevel="0" collapsed="false">
      <c r="A10" s="15" t="s">
        <v>47</v>
      </c>
      <c r="B10" s="2" t="s">
        <v>45</v>
      </c>
      <c r="C10" s="14" t="n">
        <f aca="false">C7*C8+C9*Рычаги!$B$9</f>
        <v>0</v>
      </c>
      <c r="D10" s="14" t="n">
        <f aca="false">D7*D8+D9*Рычаги!$B$9</f>
        <v>4000</v>
      </c>
      <c r="E10" s="14" t="n">
        <f aca="false">E7*E8+E9*Рычаги!$B$9</f>
        <v>8000</v>
      </c>
      <c r="F10" s="14" t="n">
        <f aca="false">F7*F8+F9*Рычаги!$B$9</f>
        <v>8000</v>
      </c>
      <c r="G10" s="14" t="n">
        <f aca="false">G7*G8+G9*Рычаги!$B$9</f>
        <v>8000</v>
      </c>
      <c r="H10" s="14" t="n">
        <f aca="false">H7*H8+H9*Рычаги!$B$9</f>
        <v>50000</v>
      </c>
      <c r="I10" s="14" t="n">
        <f aca="false">I7*I8+I9*Рычаги!$B$9</f>
        <v>87500</v>
      </c>
      <c r="J10" s="14" t="n">
        <f aca="false">J7*J8+J9*Рычаги!$B$9</f>
        <v>140000</v>
      </c>
      <c r="K10" s="14" t="n">
        <f aca="false">K7*K8+K9*Рычаги!$B$9</f>
        <v>210000</v>
      </c>
      <c r="L10" s="14" t="n">
        <f aca="false">L7*L8+L9*Рычаги!$B$9</f>
        <v>308333.333333333</v>
      </c>
      <c r="M10" s="14" t="n">
        <f aca="false">M7*M8+M9*Рычаги!$B$9</f>
        <v>440000</v>
      </c>
      <c r="N10" s="14" t="n">
        <f aca="false">N7*N8+N9*Рычаги!$B$9</f>
        <v>600000</v>
      </c>
      <c r="O10" s="14" t="n">
        <f aca="false">O7*O8+O9*Рычаги!$B$9</f>
        <v>790833.333333333</v>
      </c>
      <c r="P10" s="14" t="n">
        <f aca="false">P7*P8+P9*Рычаги!$B$9</f>
        <v>1015000</v>
      </c>
      <c r="Q10" s="14" t="n">
        <f aca="false">Q7*Q8+Q9*Рычаги!$B$9</f>
        <v>1287500</v>
      </c>
      <c r="R10" s="14" t="n">
        <f aca="false">R7*R8+R9*Рычаги!$B$9</f>
        <v>1600000</v>
      </c>
      <c r="S10" s="14" t="n">
        <f aca="false">S7*S8+S9*Рычаги!$B$9</f>
        <v>1969166.66666667</v>
      </c>
      <c r="T10" s="14" t="n">
        <f aca="false">T7*T8+T9*Рычаги!$B$9</f>
        <v>2385000</v>
      </c>
    </row>
    <row r="11" customFormat="false" ht="15" hidden="false" customHeight="false" outlineLevel="0" collapsed="false">
      <c r="A11" s="4" t="s">
        <v>16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</row>
    <row r="12" customFormat="false" ht="15" hidden="false" customHeight="false" outlineLevel="0" collapsed="false">
      <c r="A12" s="5" t="s">
        <v>48</v>
      </c>
      <c r="B12" s="2" t="s">
        <v>49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108325</v>
      </c>
      <c r="L12" s="12" t="n">
        <v>216650</v>
      </c>
      <c r="M12" s="12" t="n">
        <v>324975</v>
      </c>
      <c r="N12" s="12" t="n">
        <v>433300</v>
      </c>
      <c r="O12" s="12" t="n">
        <v>525183</v>
      </c>
      <c r="P12" s="12" t="n">
        <v>617067</v>
      </c>
      <c r="Q12" s="12" t="n">
        <v>708950</v>
      </c>
      <c r="R12" s="12" t="n">
        <v>1005967</v>
      </c>
      <c r="S12" s="12" t="n">
        <v>1302983</v>
      </c>
      <c r="T12" s="12" t="n">
        <v>1600000</v>
      </c>
    </row>
    <row r="13" customFormat="false" ht="15" hidden="false" customHeight="false" outlineLevel="0" collapsed="false">
      <c r="A13" s="5" t="s">
        <v>50</v>
      </c>
      <c r="B13" s="2" t="s">
        <v>51</v>
      </c>
      <c r="C13" s="16" t="n">
        <f aca="false">ROUND(C12*Рычаги!$B$14,0)</f>
        <v>0</v>
      </c>
      <c r="D13" s="16" t="n">
        <f aca="false">ROUND(D12*Рычаги!$B$14,0)</f>
        <v>0</v>
      </c>
      <c r="E13" s="16" t="n">
        <f aca="false">ROUND(E12*Рычаги!$B$14,0)</f>
        <v>0</v>
      </c>
      <c r="F13" s="16" t="n">
        <f aca="false">ROUND(F12*Рычаги!$B$14,0)</f>
        <v>0</v>
      </c>
      <c r="G13" s="16" t="n">
        <f aca="false">ROUND(G12*Рычаги!$B$14,0)</f>
        <v>0</v>
      </c>
      <c r="H13" s="16" t="n">
        <f aca="false">ROUND(H12*Рычаги!$B$14,0)</f>
        <v>0</v>
      </c>
      <c r="I13" s="16" t="n">
        <f aca="false">ROUND(I12*Рычаги!$B$14,0)</f>
        <v>0</v>
      </c>
      <c r="J13" s="16" t="n">
        <f aca="false">ROUND(J12*Рычаги!$B$14,0)</f>
        <v>0</v>
      </c>
      <c r="K13" s="16" t="n">
        <f aca="false">ROUND(K12*Рычаги!$B$14,0)</f>
        <v>1083</v>
      </c>
      <c r="L13" s="16" t="n">
        <f aca="false">ROUND(L12*Рычаги!$B$14,0)</f>
        <v>2167</v>
      </c>
      <c r="M13" s="16" t="n">
        <f aca="false">ROUND(M12*Рычаги!$B$14,0)</f>
        <v>3250</v>
      </c>
      <c r="N13" s="16" t="n">
        <f aca="false">ROUND(N12*Рычаги!$B$14,0)</f>
        <v>4333</v>
      </c>
      <c r="O13" s="16" t="n">
        <f aca="false">ROUND(O12*Рычаги!$B$14,0)</f>
        <v>5252</v>
      </c>
      <c r="P13" s="16" t="n">
        <f aca="false">ROUND(P12*Рычаги!$B$14,0)</f>
        <v>6171</v>
      </c>
      <c r="Q13" s="16" t="n">
        <f aca="false">ROUND(Q12*Рычаги!$B$14,0)</f>
        <v>7090</v>
      </c>
      <c r="R13" s="16" t="n">
        <f aca="false">ROUND(R12*Рычаги!$B$14,0)</f>
        <v>10060</v>
      </c>
      <c r="S13" s="16" t="n">
        <f aca="false">ROUND(S12*Рычаги!$B$14,0)</f>
        <v>13030</v>
      </c>
      <c r="T13" s="16" t="n">
        <f aca="false">ROUND(T12*Рычаги!$B$14,0)</f>
        <v>16000</v>
      </c>
    </row>
    <row r="14" customFormat="false" ht="15" hidden="false" customHeight="false" outlineLevel="0" collapsed="false">
      <c r="A14" s="5" t="s">
        <v>52</v>
      </c>
      <c r="B14" s="2" t="s">
        <v>51</v>
      </c>
      <c r="C14" s="16" t="n">
        <f aca="false">C13</f>
        <v>0</v>
      </c>
      <c r="D14" s="16" t="n">
        <f aca="false">C14-ROUND(C14*Рычаги!$B$13,0)+D13</f>
        <v>0</v>
      </c>
      <c r="E14" s="16" t="n">
        <f aca="false">D14-ROUND(D14*Рычаги!$B$13,0)+E13</f>
        <v>0</v>
      </c>
      <c r="F14" s="16" t="n">
        <f aca="false">E14-ROUND(E14*Рычаги!$B$13,0)+F13</f>
        <v>0</v>
      </c>
      <c r="G14" s="16" t="n">
        <f aca="false">F14-ROUND(F14*Рычаги!$B$13,0)+G13</f>
        <v>0</v>
      </c>
      <c r="H14" s="16" t="n">
        <f aca="false">G14-ROUND(G14*Рычаги!$B$13,0)+H13</f>
        <v>0</v>
      </c>
      <c r="I14" s="16" t="n">
        <f aca="false">H14-ROUND(H14*Рычаги!$B$13,0)+I13</f>
        <v>0</v>
      </c>
      <c r="J14" s="16" t="n">
        <f aca="false">I14-ROUND(I14*Рычаги!$B$13,0)+J13</f>
        <v>0</v>
      </c>
      <c r="K14" s="16" t="n">
        <f aca="false">J14-ROUND(J14*Рычаги!$B$13,0)+K13</f>
        <v>1083</v>
      </c>
      <c r="L14" s="16" t="n">
        <f aca="false">K14-ROUND(K14*Рычаги!$B$13,0)+L13</f>
        <v>3163</v>
      </c>
      <c r="M14" s="16" t="n">
        <f aca="false">L14-ROUND(L14*Рычаги!$B$13,0)+M13</f>
        <v>6160</v>
      </c>
      <c r="N14" s="16" t="n">
        <f aca="false">M14-ROUND(M14*Рычаги!$B$13,0)+N13</f>
        <v>10000</v>
      </c>
      <c r="O14" s="16" t="n">
        <f aca="false">N14-ROUND(N14*Рычаги!$B$13,0)+O13</f>
        <v>14452</v>
      </c>
      <c r="P14" s="16" t="n">
        <f aca="false">O14-ROUND(O14*Рычаги!$B$13,0)+P13</f>
        <v>19467</v>
      </c>
      <c r="Q14" s="16" t="n">
        <f aca="false">P14-ROUND(P14*Рычаги!$B$13,0)+Q13</f>
        <v>25000</v>
      </c>
      <c r="R14" s="16" t="n">
        <f aca="false">Q14-ROUND(Q14*Рычаги!$B$13,0)+R13</f>
        <v>33060</v>
      </c>
      <c r="S14" s="16" t="n">
        <f aca="false">R14-ROUND(R14*Рычаги!$B$13,0)+S13</f>
        <v>43445</v>
      </c>
      <c r="T14" s="16" t="n">
        <f aca="false">S14-ROUND(S14*Рычаги!$B$13,0)+T13</f>
        <v>55969</v>
      </c>
    </row>
    <row r="15" customFormat="false" ht="15" hidden="false" customHeight="false" outlineLevel="0" collapsed="false">
      <c r="A15" s="5" t="s">
        <v>53</v>
      </c>
      <c r="B15" s="2" t="s">
        <v>45</v>
      </c>
      <c r="C15" s="14" t="n">
        <f aca="false">C14*Рычаги!$B$12</f>
        <v>0</v>
      </c>
      <c r="D15" s="14" t="n">
        <f aca="false">D14*Рычаги!$B$12</f>
        <v>0</v>
      </c>
      <c r="E15" s="14" t="n">
        <f aca="false">E14*Рычаги!$B$12</f>
        <v>0</v>
      </c>
      <c r="F15" s="14" t="n">
        <f aca="false">F14*Рычаги!$B$12</f>
        <v>0</v>
      </c>
      <c r="G15" s="14" t="n">
        <f aca="false">G14*Рычаги!$B$12</f>
        <v>0</v>
      </c>
      <c r="H15" s="14" t="n">
        <f aca="false">H14*Рычаги!$B$12</f>
        <v>0</v>
      </c>
      <c r="I15" s="14" t="n">
        <f aca="false">I14*Рычаги!$B$12</f>
        <v>0</v>
      </c>
      <c r="J15" s="14" t="n">
        <f aca="false">J14*Рычаги!$B$12</f>
        <v>0</v>
      </c>
      <c r="K15" s="14" t="n">
        <f aca="false">K14*Рычаги!$B$12</f>
        <v>10830</v>
      </c>
      <c r="L15" s="14" t="n">
        <f aca="false">L14*Рычаги!$B$12</f>
        <v>31630</v>
      </c>
      <c r="M15" s="14" t="n">
        <f aca="false">M14*Рычаги!$B$12</f>
        <v>61600</v>
      </c>
      <c r="N15" s="14" t="n">
        <f aca="false">N14*Рычаги!$B$12</f>
        <v>100000</v>
      </c>
      <c r="O15" s="14" t="n">
        <f aca="false">O14*Рычаги!$B$12</f>
        <v>144520</v>
      </c>
      <c r="P15" s="14" t="n">
        <f aca="false">P14*Рычаги!$B$12</f>
        <v>194670</v>
      </c>
      <c r="Q15" s="14" t="n">
        <f aca="false">Q14*Рычаги!$B$12</f>
        <v>250000</v>
      </c>
      <c r="R15" s="14" t="n">
        <f aca="false">R14*Рычаги!$B$12</f>
        <v>330600</v>
      </c>
      <c r="S15" s="14" t="n">
        <f aca="false">S14*Рычаги!$B$12</f>
        <v>434450</v>
      </c>
      <c r="T15" s="14" t="n">
        <f aca="false">T14*Рычаги!$B$12</f>
        <v>559690</v>
      </c>
    </row>
    <row r="16" customFormat="false" ht="15" hidden="false" customHeight="false" outlineLevel="0" collapsed="false">
      <c r="A16" s="5" t="s">
        <v>54</v>
      </c>
      <c r="B16" s="2" t="s">
        <v>55</v>
      </c>
      <c r="C16" s="12" t="n">
        <v>0</v>
      </c>
      <c r="D16" s="12" t="n">
        <v>0</v>
      </c>
      <c r="E16" s="12" t="n">
        <v>1</v>
      </c>
      <c r="F16" s="12" t="n">
        <v>1</v>
      </c>
      <c r="G16" s="12" t="n">
        <v>1</v>
      </c>
      <c r="H16" s="12" t="n">
        <v>1</v>
      </c>
      <c r="I16" s="12" t="n">
        <v>2</v>
      </c>
      <c r="J16" s="12" t="n">
        <v>3</v>
      </c>
      <c r="K16" s="12" t="n">
        <v>4</v>
      </c>
      <c r="L16" s="12" t="n">
        <v>4</v>
      </c>
      <c r="M16" s="12" t="n">
        <v>4</v>
      </c>
      <c r="N16" s="12" t="n">
        <v>4</v>
      </c>
      <c r="O16" s="12" t="n">
        <v>5</v>
      </c>
      <c r="P16" s="12" t="n">
        <v>5</v>
      </c>
      <c r="Q16" s="12" t="n">
        <v>6</v>
      </c>
      <c r="R16" s="12" t="n">
        <v>7</v>
      </c>
      <c r="S16" s="12" t="n">
        <v>7</v>
      </c>
      <c r="T16" s="12" t="n">
        <v>8</v>
      </c>
    </row>
    <row r="17" customFormat="false" ht="15" hidden="false" customHeight="false" outlineLevel="0" collapsed="false">
      <c r="A17" s="5" t="s">
        <v>56</v>
      </c>
      <c r="B17" s="2" t="s">
        <v>45</v>
      </c>
      <c r="C17" s="14" t="n">
        <f aca="false">C16*Рычаги!$B$15</f>
        <v>0</v>
      </c>
      <c r="D17" s="14" t="n">
        <f aca="false">D16*Рычаги!$B$15</f>
        <v>0</v>
      </c>
      <c r="E17" s="14" t="n">
        <f aca="false">E16*Рычаги!$B$15</f>
        <v>50000</v>
      </c>
      <c r="F17" s="14" t="n">
        <f aca="false">F16*Рычаги!$B$15</f>
        <v>50000</v>
      </c>
      <c r="G17" s="14" t="n">
        <f aca="false">G16*Рычаги!$B$15</f>
        <v>50000</v>
      </c>
      <c r="H17" s="14" t="n">
        <f aca="false">H16*Рычаги!$B$15</f>
        <v>50000</v>
      </c>
      <c r="I17" s="14" t="n">
        <f aca="false">I16*Рычаги!$B$15</f>
        <v>100000</v>
      </c>
      <c r="J17" s="14" t="n">
        <f aca="false">J16*Рычаги!$B$15</f>
        <v>150000</v>
      </c>
      <c r="K17" s="14" t="n">
        <f aca="false">K16*Рычаги!$B$15</f>
        <v>200000</v>
      </c>
      <c r="L17" s="14" t="n">
        <f aca="false">L16*Рычаги!$B$15</f>
        <v>200000</v>
      </c>
      <c r="M17" s="14" t="n">
        <f aca="false">M16*Рычаги!$B$15</f>
        <v>200000</v>
      </c>
      <c r="N17" s="14" t="n">
        <f aca="false">N16*Рычаги!$B$15</f>
        <v>200000</v>
      </c>
      <c r="O17" s="14" t="n">
        <f aca="false">O16*Рычаги!$B$15</f>
        <v>250000</v>
      </c>
      <c r="P17" s="14" t="n">
        <f aca="false">P16*Рычаги!$B$15</f>
        <v>250000</v>
      </c>
      <c r="Q17" s="14" t="n">
        <f aca="false">Q16*Рычаги!$B$15</f>
        <v>300000</v>
      </c>
      <c r="R17" s="14" t="n">
        <f aca="false">R16*Рычаги!$B$15</f>
        <v>350000</v>
      </c>
      <c r="S17" s="14" t="n">
        <f aca="false">S16*Рычаги!$B$15</f>
        <v>350000</v>
      </c>
      <c r="T17" s="14" t="n">
        <f aca="false">T16*Рычаги!$B$15</f>
        <v>400000</v>
      </c>
    </row>
    <row r="18" customFormat="false" ht="15" hidden="false" customHeight="false" outlineLevel="0" collapsed="false">
      <c r="A18" s="4" t="s">
        <v>21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</row>
    <row r="19" customFormat="false" ht="15" hidden="false" customHeight="false" outlineLevel="0" collapsed="false">
      <c r="A19" s="5" t="s">
        <v>41</v>
      </c>
      <c r="B19" s="2" t="s">
        <v>42</v>
      </c>
      <c r="C19" s="12" t="n">
        <v>0</v>
      </c>
      <c r="D19" s="12" t="n">
        <v>0</v>
      </c>
      <c r="E19" s="12" t="n">
        <v>2</v>
      </c>
      <c r="F19" s="12" t="n">
        <v>4</v>
      </c>
      <c r="G19" s="12" t="n">
        <v>5</v>
      </c>
      <c r="H19" s="12" t="n">
        <v>6</v>
      </c>
      <c r="I19" s="12" t="n">
        <v>9</v>
      </c>
      <c r="J19" s="12" t="n">
        <v>11</v>
      </c>
      <c r="K19" s="12" t="n">
        <v>13</v>
      </c>
      <c r="L19" s="12" t="n">
        <v>16</v>
      </c>
      <c r="M19" s="12" t="n">
        <v>18</v>
      </c>
      <c r="N19" s="12" t="n">
        <v>20</v>
      </c>
      <c r="O19" s="12" t="n">
        <v>24</v>
      </c>
      <c r="P19" s="12" t="n">
        <v>28</v>
      </c>
      <c r="Q19" s="12" t="n">
        <v>33</v>
      </c>
      <c r="R19" s="12" t="n">
        <v>37</v>
      </c>
      <c r="S19" s="12" t="n">
        <v>41</v>
      </c>
      <c r="T19" s="12" t="n">
        <v>45</v>
      </c>
    </row>
    <row r="20" customFormat="false" ht="15" hidden="false" customHeight="false" outlineLevel="0" collapsed="false">
      <c r="A20" s="5" t="s">
        <v>57</v>
      </c>
      <c r="B20" s="2" t="s">
        <v>42</v>
      </c>
      <c r="C20" s="13" t="n">
        <f aca="false">C19</f>
        <v>0</v>
      </c>
      <c r="D20" s="13" t="n">
        <f aca="false">C20-ROUND(C20*Рычаги!$B$19,0)+D19</f>
        <v>0</v>
      </c>
      <c r="E20" s="13" t="n">
        <f aca="false">D20-ROUND(D20*Рычаги!$B$19,0)+E19</f>
        <v>2</v>
      </c>
      <c r="F20" s="13" t="n">
        <f aca="false">E20-ROUND(E20*Рычаги!$B$19,0)+F19</f>
        <v>6</v>
      </c>
      <c r="G20" s="13" t="n">
        <f aca="false">F20-ROUND(F20*Рычаги!$B$19,0)+G19</f>
        <v>11</v>
      </c>
      <c r="H20" s="13" t="n">
        <f aca="false">G20-ROUND(G20*Рычаги!$B$19,0)+H19</f>
        <v>17</v>
      </c>
      <c r="I20" s="13" t="n">
        <f aca="false">H20-ROUND(H20*Рычаги!$B$19,0)+I19</f>
        <v>26</v>
      </c>
      <c r="J20" s="13" t="n">
        <f aca="false">I20-ROUND(I20*Рычаги!$B$19,0)+J19</f>
        <v>37</v>
      </c>
      <c r="K20" s="13" t="n">
        <f aca="false">J20-ROUND(J20*Рычаги!$B$19,0)+K19</f>
        <v>49</v>
      </c>
      <c r="L20" s="13" t="n">
        <f aca="false">K20-ROUND(K20*Рычаги!$B$19,0)+L19</f>
        <v>64</v>
      </c>
      <c r="M20" s="13" t="n">
        <f aca="false">L20-ROUND(L20*Рычаги!$B$19,0)+M19</f>
        <v>81</v>
      </c>
      <c r="N20" s="13" t="n">
        <f aca="false">M20-ROUND(M20*Рычаги!$B$19,0)+N19</f>
        <v>100</v>
      </c>
      <c r="O20" s="13" t="n">
        <f aca="false">N20-ROUND(N20*Рычаги!$B$19,0)+O19</f>
        <v>122</v>
      </c>
      <c r="P20" s="13" t="n">
        <f aca="false">O20-ROUND(O20*Рычаги!$B$19,0)+P19</f>
        <v>148</v>
      </c>
      <c r="Q20" s="13" t="n">
        <f aca="false">P20-ROUND(P20*Рычаги!$B$19,0)+Q19</f>
        <v>179</v>
      </c>
      <c r="R20" s="13" t="n">
        <f aca="false">Q20-ROUND(Q20*Рычаги!$B$19,0)+R19</f>
        <v>213</v>
      </c>
      <c r="S20" s="13" t="n">
        <f aca="false">R20-ROUND(R20*Рычаги!$B$19,0)+S19</f>
        <v>251</v>
      </c>
      <c r="T20" s="13" t="n">
        <f aca="false">S20-ROUND(S20*Рычаги!$B$19,0)+T19</f>
        <v>292</v>
      </c>
    </row>
    <row r="21" customFormat="false" ht="15" hidden="false" customHeight="false" outlineLevel="0" collapsed="false">
      <c r="A21" s="5" t="s">
        <v>44</v>
      </c>
      <c r="B21" s="2" t="s">
        <v>45</v>
      </c>
      <c r="C21" s="14" t="n">
        <f aca="false">IF(1&lt;3,0,MIN(Рычаги!$B$18,Рычаги!$B$17+(Рычаги!$B$18-Рычаги!$B$17)*(1-3)/15))</f>
        <v>0</v>
      </c>
      <c r="D21" s="14" t="n">
        <f aca="false">IF(2&lt;3,0,MIN(Рычаги!$B$18,Рычаги!$B$17+(Рычаги!$B$18-Рычаги!$B$17)*(2-3)/15))</f>
        <v>0</v>
      </c>
      <c r="E21" s="14" t="n">
        <f aca="false">IF(3&lt;3,0,MIN(Рычаги!$B$18,Рычаги!$B$17+(Рычаги!$B$18-Рычаги!$B$17)*(3-3)/15))</f>
        <v>800</v>
      </c>
      <c r="F21" s="14" t="n">
        <f aca="false">IF(4&lt;3,0,MIN(Рычаги!$B$18,Рычаги!$B$17+(Рычаги!$B$18-Рычаги!$B$17)*(4-3)/15))</f>
        <v>880</v>
      </c>
      <c r="G21" s="14" t="n">
        <f aca="false">IF(5&lt;3,0,MIN(Рычаги!$B$18,Рычаги!$B$17+(Рычаги!$B$18-Рычаги!$B$17)*(5-3)/15))</f>
        <v>960</v>
      </c>
      <c r="H21" s="14" t="n">
        <f aca="false">IF(6&lt;3,0,MIN(Рычаги!$B$18,Рычаги!$B$17+(Рычаги!$B$18-Рычаги!$B$17)*(6-3)/15))</f>
        <v>1040</v>
      </c>
      <c r="I21" s="14" t="n">
        <f aca="false">IF(7&lt;3,0,MIN(Рычаги!$B$18,Рычаги!$B$17+(Рычаги!$B$18-Рычаги!$B$17)*(7-3)/15))</f>
        <v>1120</v>
      </c>
      <c r="J21" s="14" t="n">
        <f aca="false">IF(8&lt;3,0,MIN(Рычаги!$B$18,Рычаги!$B$17+(Рычаги!$B$18-Рычаги!$B$17)*(8-3)/15))</f>
        <v>1200</v>
      </c>
      <c r="K21" s="14" t="n">
        <f aca="false">IF(9&lt;3,0,MIN(Рычаги!$B$18,Рычаги!$B$17+(Рычаги!$B$18-Рычаги!$B$17)*(9-3)/15))</f>
        <v>1280</v>
      </c>
      <c r="L21" s="14" t="n">
        <f aca="false">IF(10&lt;3,0,MIN(Рычаги!$B$18,Рычаги!$B$17+(Рычаги!$B$18-Рычаги!$B$17)*(10-3)/15))</f>
        <v>1360</v>
      </c>
      <c r="M21" s="14" t="n">
        <f aca="false">IF(11&lt;3,0,MIN(Рычаги!$B$18,Рычаги!$B$17+(Рычаги!$B$18-Рычаги!$B$17)*(11-3)/15))</f>
        <v>1440</v>
      </c>
      <c r="N21" s="14" t="n">
        <f aca="false">IF(12&lt;3,0,MIN(Рычаги!$B$18,Рычаги!$B$17+(Рычаги!$B$18-Рычаги!$B$17)*(12-3)/15))</f>
        <v>1520</v>
      </c>
      <c r="O21" s="14" t="n">
        <f aca="false">IF(13&lt;3,0,MIN(Рычаги!$B$18,Рычаги!$B$17+(Рычаги!$B$18-Рычаги!$B$17)*(13-3)/15))</f>
        <v>1600</v>
      </c>
      <c r="P21" s="14" t="n">
        <f aca="false">IF(14&lt;3,0,MIN(Рычаги!$B$18,Рычаги!$B$17+(Рычаги!$B$18-Рычаги!$B$17)*(14-3)/15))</f>
        <v>1680</v>
      </c>
      <c r="Q21" s="14" t="n">
        <f aca="false">IF(15&lt;3,0,MIN(Рычаги!$B$18,Рычаги!$B$17+(Рычаги!$B$18-Рычаги!$B$17)*(15-3)/15))</f>
        <v>1760</v>
      </c>
      <c r="R21" s="14" t="n">
        <f aca="false">IF(16&lt;3,0,MIN(Рычаги!$B$18,Рычаги!$B$17+(Рычаги!$B$18-Рычаги!$B$17)*(16-3)/15))</f>
        <v>1840</v>
      </c>
      <c r="S21" s="14" t="n">
        <f aca="false">IF(17&lt;3,0,MIN(Рычаги!$B$18,Рычаги!$B$17+(Рычаги!$B$18-Рычаги!$B$17)*(17-3)/15))</f>
        <v>1920</v>
      </c>
      <c r="T21" s="14" t="n">
        <f aca="false">IF(18&lt;3,0,MIN(Рычаги!$B$18,Рычаги!$B$17+(Рычаги!$B$18-Рычаги!$B$17)*(18-3)/15))</f>
        <v>2000</v>
      </c>
    </row>
    <row r="22" customFormat="false" ht="15" hidden="false" customHeight="false" outlineLevel="0" collapsed="false">
      <c r="A22" s="15" t="s">
        <v>58</v>
      </c>
      <c r="B22" s="2" t="s">
        <v>45</v>
      </c>
      <c r="C22" s="14" t="n">
        <f aca="false">C20*C21</f>
        <v>0</v>
      </c>
      <c r="D22" s="14" t="n">
        <f aca="false">D20*D21</f>
        <v>0</v>
      </c>
      <c r="E22" s="14" t="n">
        <f aca="false">E20*E21</f>
        <v>1600</v>
      </c>
      <c r="F22" s="14" t="n">
        <f aca="false">F20*F21</f>
        <v>5280</v>
      </c>
      <c r="G22" s="14" t="n">
        <f aca="false">G20*G21</f>
        <v>10560</v>
      </c>
      <c r="H22" s="14" t="n">
        <f aca="false">H20*H21</f>
        <v>17680</v>
      </c>
      <c r="I22" s="14" t="n">
        <f aca="false">I20*I21</f>
        <v>29120</v>
      </c>
      <c r="J22" s="14" t="n">
        <f aca="false">J20*J21</f>
        <v>44400</v>
      </c>
      <c r="K22" s="14" t="n">
        <f aca="false">K20*K21</f>
        <v>62720</v>
      </c>
      <c r="L22" s="14" t="n">
        <f aca="false">L20*L21</f>
        <v>87040</v>
      </c>
      <c r="M22" s="14" t="n">
        <f aca="false">M20*M21</f>
        <v>116640</v>
      </c>
      <c r="N22" s="14" t="n">
        <f aca="false">N20*N21</f>
        <v>152000</v>
      </c>
      <c r="O22" s="14" t="n">
        <f aca="false">O20*O21</f>
        <v>195200</v>
      </c>
      <c r="P22" s="14" t="n">
        <f aca="false">P20*P21</f>
        <v>248640</v>
      </c>
      <c r="Q22" s="14" t="n">
        <f aca="false">Q20*Q21</f>
        <v>315040</v>
      </c>
      <c r="R22" s="14" t="n">
        <f aca="false">R20*R21</f>
        <v>391920</v>
      </c>
      <c r="S22" s="14" t="n">
        <f aca="false">S20*S21</f>
        <v>481920</v>
      </c>
      <c r="T22" s="14" t="n">
        <f aca="false">T20*T21</f>
        <v>584000</v>
      </c>
    </row>
    <row r="23" customFormat="false" ht="15" hidden="false" customHeight="false" outlineLevel="0" collapsed="false">
      <c r="A23" s="4" t="s">
        <v>59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24" customFormat="false" ht="15" hidden="false" customHeight="false" outlineLevel="0" collapsed="false">
      <c r="A24" s="15" t="s">
        <v>60</v>
      </c>
      <c r="B24" s="2" t="s">
        <v>45</v>
      </c>
      <c r="C24" s="14" t="n">
        <f aca="false">C10+C15+C17+C22</f>
        <v>0</v>
      </c>
      <c r="D24" s="14" t="n">
        <f aca="false">D10+D15+D17+D22</f>
        <v>4000</v>
      </c>
      <c r="E24" s="14" t="n">
        <f aca="false">E10+E15+E17+E22</f>
        <v>59600</v>
      </c>
      <c r="F24" s="14" t="n">
        <f aca="false">F10+F15+F17+F22</f>
        <v>63280</v>
      </c>
      <c r="G24" s="14" t="n">
        <f aca="false">G10+G15+G17+G22</f>
        <v>68560</v>
      </c>
      <c r="H24" s="14" t="n">
        <f aca="false">H10+H15+H17+H22</f>
        <v>117680</v>
      </c>
      <c r="I24" s="14" t="n">
        <f aca="false">I10+I15+I17+I22</f>
        <v>216620</v>
      </c>
      <c r="J24" s="14" t="n">
        <f aca="false">J10+J15+J17+J22</f>
        <v>334400</v>
      </c>
      <c r="K24" s="14" t="n">
        <f aca="false">K10+K15+K17+K22</f>
        <v>483550</v>
      </c>
      <c r="L24" s="14" t="n">
        <f aca="false">L10+L15+L17+L22</f>
        <v>627003.333333333</v>
      </c>
      <c r="M24" s="14" t="n">
        <f aca="false">M10+M15+M17+M22</f>
        <v>818240</v>
      </c>
      <c r="N24" s="14" t="n">
        <f aca="false">N10+N15+N17+N22</f>
        <v>1052000</v>
      </c>
      <c r="O24" s="14" t="n">
        <f aca="false">O10+O15+O17+O22</f>
        <v>1380553.33333333</v>
      </c>
      <c r="P24" s="14" t="n">
        <f aca="false">P10+P15+P17+P22</f>
        <v>1708310</v>
      </c>
      <c r="Q24" s="14" t="n">
        <f aca="false">Q10+Q15+Q17+Q22</f>
        <v>2152540</v>
      </c>
      <c r="R24" s="14" t="n">
        <f aca="false">R10+R15+R17+R22</f>
        <v>2672520</v>
      </c>
      <c r="S24" s="14" t="n">
        <f aca="false">S10+S15+S17+S22</f>
        <v>3235536.66666667</v>
      </c>
      <c r="T24" s="14" t="n">
        <f aca="false">T10+T15+T17+T22</f>
        <v>3928690</v>
      </c>
    </row>
    <row r="25" customFormat="false" ht="15" hidden="false" customHeight="false" outlineLevel="0" collapsed="false">
      <c r="A25" s="5" t="s">
        <v>61</v>
      </c>
      <c r="B25" s="2" t="s">
        <v>62</v>
      </c>
      <c r="C25" s="14" t="n">
        <f aca="false">(C10-C9*Рычаги!$B$9+C15+C22)*12</f>
        <v>0</v>
      </c>
      <c r="D25" s="14" t="n">
        <f aca="false">(D10-D9*Рычаги!$B$9+D15+D22)*12</f>
        <v>0</v>
      </c>
      <c r="E25" s="14" t="n">
        <f aca="false">(E10-E9*Рычаги!$B$9+E15+E22)*12</f>
        <v>19200</v>
      </c>
      <c r="F25" s="14" t="n">
        <f aca="false">(F10-F9*Рычаги!$B$9+F15+F22)*12</f>
        <v>63360</v>
      </c>
      <c r="G25" s="14" t="n">
        <f aca="false">(G10-G9*Рычаги!$B$9+G15+G22)*12</f>
        <v>126720</v>
      </c>
      <c r="H25" s="14" t="n">
        <f aca="false">(H10-H9*Рычаги!$B$9+H15+H22)*12</f>
        <v>812160</v>
      </c>
      <c r="I25" s="14" t="n">
        <f aca="false">(I10-I9*Рычаги!$B$9+I15+I22)*12</f>
        <v>1399440</v>
      </c>
      <c r="J25" s="14" t="n">
        <f aca="false">(J10-J9*Рычаги!$B$9+J15+J22)*12</f>
        <v>2212800</v>
      </c>
      <c r="K25" s="14" t="n">
        <f aca="false">(K10-K9*Рычаги!$B$9+K15+K22)*12</f>
        <v>3402600</v>
      </c>
      <c r="L25" s="14" t="n">
        <f aca="false">(L10-L9*Рычаги!$B$9+L15+L22)*12</f>
        <v>5124040</v>
      </c>
      <c r="M25" s="14" t="n">
        <f aca="false">(M10-M9*Рычаги!$B$9+M15+M22)*12</f>
        <v>7418880</v>
      </c>
      <c r="N25" s="14" t="n">
        <f aca="false">(N10-N9*Рычаги!$B$9+N15+N22)*12</f>
        <v>10224000</v>
      </c>
      <c r="O25" s="14" t="n">
        <f aca="false">(O10-O9*Рычаги!$B$9+O15+O22)*12</f>
        <v>13566640</v>
      </c>
      <c r="P25" s="14" t="n">
        <f aca="false">(P10-P9*Рычаги!$B$9+P15+P22)*12</f>
        <v>17499720</v>
      </c>
      <c r="Q25" s="14" t="n">
        <f aca="false">(Q10-Q9*Рычаги!$B$9+Q15+Q22)*12</f>
        <v>22230480</v>
      </c>
      <c r="R25" s="14" t="n">
        <f aca="false">(R10-R9*Рычаги!$B$9+R15+R22)*12</f>
        <v>27870240</v>
      </c>
      <c r="S25" s="14" t="n">
        <f aca="false">(S10-S9*Рычаги!$B$9+S15+S22)*12</f>
        <v>34626440</v>
      </c>
      <c r="T25" s="14" t="n">
        <f aca="false">(T10-T9*Рычаги!$B$9+T15+T22)*12</f>
        <v>42344280</v>
      </c>
    </row>
    <row r="26" customFormat="false" ht="15" hidden="false" customHeight="false" outlineLevel="0" collapsed="false">
      <c r="A26" s="4" t="s">
        <v>63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</row>
    <row r="27" customFormat="false" ht="15" hidden="false" customHeight="false" outlineLevel="0" collapsed="false">
      <c r="A27" s="5" t="s">
        <v>64</v>
      </c>
      <c r="B27" s="2" t="s">
        <v>65</v>
      </c>
      <c r="C27" s="12" t="n">
        <v>10</v>
      </c>
      <c r="D27" s="12" t="n">
        <v>20</v>
      </c>
      <c r="E27" s="12" t="n">
        <v>30</v>
      </c>
      <c r="F27" s="12" t="n">
        <v>38</v>
      </c>
      <c r="G27" s="12" t="n">
        <v>47</v>
      </c>
      <c r="H27" s="12" t="n">
        <v>55</v>
      </c>
      <c r="I27" s="12" t="n">
        <v>62</v>
      </c>
      <c r="J27" s="12" t="n">
        <v>68</v>
      </c>
      <c r="K27" s="12" t="n">
        <v>75</v>
      </c>
      <c r="L27" s="12" t="n">
        <v>82</v>
      </c>
      <c r="M27" s="12" t="n">
        <v>88</v>
      </c>
      <c r="N27" s="12" t="n">
        <v>95</v>
      </c>
      <c r="O27" s="12" t="n">
        <v>102</v>
      </c>
      <c r="P27" s="12" t="n">
        <v>108</v>
      </c>
      <c r="Q27" s="12" t="n">
        <v>115</v>
      </c>
      <c r="R27" s="12" t="n">
        <v>122</v>
      </c>
      <c r="S27" s="12" t="n">
        <v>128</v>
      </c>
      <c r="T27" s="12" t="n">
        <v>135</v>
      </c>
    </row>
    <row r="28" customFormat="false" ht="15" hidden="false" customHeight="false" outlineLevel="0" collapsed="false">
      <c r="A28" s="5" t="s">
        <v>66</v>
      </c>
      <c r="B28" s="2" t="s">
        <v>45</v>
      </c>
      <c r="C28" s="14" t="n">
        <f aca="false">C27*Рычаги!$B$21/12</f>
        <v>125000</v>
      </c>
      <c r="D28" s="14" t="n">
        <f aca="false">D27*Рычаги!$B$21/12</f>
        <v>250000</v>
      </c>
      <c r="E28" s="14" t="n">
        <f aca="false">E27*Рычаги!$B$21/12</f>
        <v>375000</v>
      </c>
      <c r="F28" s="14" t="n">
        <f aca="false">F27*Рычаги!$B$21/12</f>
        <v>475000</v>
      </c>
      <c r="G28" s="14" t="n">
        <f aca="false">G27*Рычаги!$B$21/12</f>
        <v>587500</v>
      </c>
      <c r="H28" s="14" t="n">
        <f aca="false">H27*Рычаги!$B$21/12</f>
        <v>687500</v>
      </c>
      <c r="I28" s="14" t="n">
        <f aca="false">I27*Рычаги!$B$21/12</f>
        <v>775000</v>
      </c>
      <c r="J28" s="14" t="n">
        <f aca="false">J27*Рычаги!$B$21/12</f>
        <v>850000</v>
      </c>
      <c r="K28" s="14" t="n">
        <f aca="false">K27*Рычаги!$B$21/12</f>
        <v>937500</v>
      </c>
      <c r="L28" s="14" t="n">
        <f aca="false">L27*Рычаги!$B$21/12</f>
        <v>1025000</v>
      </c>
      <c r="M28" s="14" t="n">
        <f aca="false">M27*Рычаги!$B$21/12</f>
        <v>1100000</v>
      </c>
      <c r="N28" s="14" t="n">
        <f aca="false">N27*Рычаги!$B$21/12</f>
        <v>1187500</v>
      </c>
      <c r="O28" s="14" t="n">
        <f aca="false">O27*Рычаги!$B$21/12</f>
        <v>1275000</v>
      </c>
      <c r="P28" s="14" t="n">
        <f aca="false">P27*Рычаги!$B$21/12</f>
        <v>1350000</v>
      </c>
      <c r="Q28" s="14" t="n">
        <f aca="false">Q27*Рычаги!$B$21/12</f>
        <v>1437500</v>
      </c>
      <c r="R28" s="14" t="n">
        <f aca="false">R27*Рычаги!$B$21/12</f>
        <v>1525000</v>
      </c>
      <c r="S28" s="14" t="n">
        <f aca="false">S27*Рычаги!$B$21/12</f>
        <v>1600000</v>
      </c>
      <c r="T28" s="14" t="n">
        <f aca="false">T27*Рычаги!$B$21/12</f>
        <v>1687500</v>
      </c>
    </row>
    <row r="29" customFormat="false" ht="15" hidden="false" customHeight="false" outlineLevel="0" collapsed="false">
      <c r="A29" s="5" t="s">
        <v>67</v>
      </c>
      <c r="B29" s="2" t="s">
        <v>45</v>
      </c>
      <c r="C29" s="17" t="n">
        <v>803833.33</v>
      </c>
      <c r="D29" s="17" t="n">
        <v>1236666.67</v>
      </c>
      <c r="E29" s="17" t="n">
        <v>1669500</v>
      </c>
      <c r="F29" s="17" t="n">
        <v>1669500</v>
      </c>
      <c r="G29" s="17" t="n">
        <v>1900000</v>
      </c>
      <c r="H29" s="17" t="n">
        <v>2130500</v>
      </c>
      <c r="I29" s="17" t="n">
        <v>2130500</v>
      </c>
      <c r="J29" s="17" t="n">
        <v>2224966.67</v>
      </c>
      <c r="K29" s="17" t="n">
        <v>2319433.33</v>
      </c>
      <c r="L29" s="17" t="n">
        <v>2413900</v>
      </c>
      <c r="M29" s="17" t="n">
        <v>2508366.67</v>
      </c>
      <c r="N29" s="17" t="n">
        <v>2602833.33</v>
      </c>
      <c r="O29" s="17" t="n">
        <v>2602833.33</v>
      </c>
      <c r="P29" s="17" t="n">
        <v>2788366.67</v>
      </c>
      <c r="Q29" s="17" t="n">
        <v>2973900</v>
      </c>
      <c r="R29" s="17" t="n">
        <v>3159433.33</v>
      </c>
      <c r="S29" s="17" t="n">
        <v>3344966.67</v>
      </c>
      <c r="T29" s="17" t="n">
        <v>3530500</v>
      </c>
    </row>
    <row r="30" customFormat="false" ht="15" hidden="false" customHeight="false" outlineLevel="0" collapsed="false">
      <c r="A30" s="5" t="s">
        <v>68</v>
      </c>
      <c r="B30" s="2" t="s">
        <v>45</v>
      </c>
      <c r="C30" s="14" t="n">
        <f aca="false">C29-C28</f>
        <v>678833.33</v>
      </c>
      <c r="D30" s="14" t="n">
        <f aca="false">D29-D28</f>
        <v>986666.67</v>
      </c>
      <c r="E30" s="14" t="n">
        <f aca="false">E29-E28</f>
        <v>1294500</v>
      </c>
      <c r="F30" s="14" t="n">
        <f aca="false">F29-F28</f>
        <v>1194500</v>
      </c>
      <c r="G30" s="14" t="n">
        <f aca="false">G29-G28</f>
        <v>1312500</v>
      </c>
      <c r="H30" s="14" t="n">
        <f aca="false">H29-H28</f>
        <v>1443000</v>
      </c>
      <c r="I30" s="14" t="n">
        <f aca="false">I29-I28</f>
        <v>1355500</v>
      </c>
      <c r="J30" s="14" t="n">
        <f aca="false">J29-J28</f>
        <v>1374966.67</v>
      </c>
      <c r="K30" s="14" t="n">
        <f aca="false">K29-K28</f>
        <v>1381933.33</v>
      </c>
      <c r="L30" s="14" t="n">
        <f aca="false">L29-L28</f>
        <v>1388900</v>
      </c>
      <c r="M30" s="14" t="n">
        <f aca="false">M29-M28</f>
        <v>1408366.67</v>
      </c>
      <c r="N30" s="14" t="n">
        <f aca="false">N29-N28</f>
        <v>1415333.33</v>
      </c>
      <c r="O30" s="14" t="n">
        <f aca="false">O29-O28</f>
        <v>1327833.33</v>
      </c>
      <c r="P30" s="14" t="n">
        <f aca="false">P29-P28</f>
        <v>1438366.67</v>
      </c>
      <c r="Q30" s="14" t="n">
        <f aca="false">Q29-Q28</f>
        <v>1536400</v>
      </c>
      <c r="R30" s="14" t="n">
        <f aca="false">R29-R28</f>
        <v>1634433.33</v>
      </c>
      <c r="S30" s="14" t="n">
        <f aca="false">S29-S28</f>
        <v>1744966.67</v>
      </c>
      <c r="T30" s="14" t="n">
        <f aca="false">T29-T28</f>
        <v>1843000</v>
      </c>
    </row>
    <row r="31" customFormat="false" ht="15" hidden="false" customHeight="false" outlineLevel="0" collapsed="false">
      <c r="A31" s="15" t="s">
        <v>69</v>
      </c>
      <c r="B31" s="2" t="s">
        <v>45</v>
      </c>
      <c r="C31" s="14" t="n">
        <f aca="false">C24-C29</f>
        <v>-803833.33</v>
      </c>
      <c r="D31" s="14" t="n">
        <f aca="false">D24-D29</f>
        <v>-1232666.67</v>
      </c>
      <c r="E31" s="14" t="n">
        <f aca="false">E24-E29</f>
        <v>-1609900</v>
      </c>
      <c r="F31" s="14" t="n">
        <f aca="false">F24-F29</f>
        <v>-1606220</v>
      </c>
      <c r="G31" s="14" t="n">
        <f aca="false">G24-G29</f>
        <v>-1831440</v>
      </c>
      <c r="H31" s="14" t="n">
        <f aca="false">H24-H29</f>
        <v>-2012820</v>
      </c>
      <c r="I31" s="14" t="n">
        <f aca="false">I24-I29</f>
        <v>-1913880</v>
      </c>
      <c r="J31" s="14" t="n">
        <f aca="false">J24-J29</f>
        <v>-1890566.67</v>
      </c>
      <c r="K31" s="14" t="n">
        <f aca="false">K24-K29</f>
        <v>-1835883.33</v>
      </c>
      <c r="L31" s="14" t="n">
        <f aca="false">L24-L29</f>
        <v>-1786896.66666667</v>
      </c>
      <c r="M31" s="14" t="n">
        <f aca="false">M24-M29</f>
        <v>-1690126.67</v>
      </c>
      <c r="N31" s="14" t="n">
        <f aca="false">N24-N29</f>
        <v>-1550833.33</v>
      </c>
      <c r="O31" s="14" t="n">
        <f aca="false">O24-O29</f>
        <v>-1222279.99666667</v>
      </c>
      <c r="P31" s="14" t="n">
        <f aca="false">P24-P29</f>
        <v>-1080056.67</v>
      </c>
      <c r="Q31" s="14" t="n">
        <f aca="false">Q24-Q29</f>
        <v>-821360</v>
      </c>
      <c r="R31" s="14" t="n">
        <f aca="false">R24-R29</f>
        <v>-486913.33</v>
      </c>
      <c r="S31" s="14" t="n">
        <f aca="false">S24-S29</f>
        <v>-109430.003333333</v>
      </c>
      <c r="T31" s="14" t="n">
        <f aca="false">T24-T29</f>
        <v>398190</v>
      </c>
    </row>
    <row r="32" customFormat="false" ht="15" hidden="false" customHeight="false" outlineLevel="0" collapsed="false">
      <c r="A32" s="15" t="s">
        <v>70</v>
      </c>
      <c r="B32" s="2" t="s">
        <v>62</v>
      </c>
      <c r="C32" s="14" t="n">
        <f aca="false">Рычаги!$B$23+C31</f>
        <v>49196166.67</v>
      </c>
      <c r="D32" s="14" t="n">
        <f aca="false">C32+D31</f>
        <v>47963500</v>
      </c>
      <c r="E32" s="14" t="n">
        <f aca="false">D32+E31</f>
        <v>46353600</v>
      </c>
      <c r="F32" s="14" t="n">
        <f aca="false">E32+F31</f>
        <v>44747380</v>
      </c>
      <c r="G32" s="14" t="n">
        <f aca="false">F32+G31</f>
        <v>42915940</v>
      </c>
      <c r="H32" s="14" t="n">
        <f aca="false">G32+H31</f>
        <v>40903120</v>
      </c>
      <c r="I32" s="14" t="n">
        <f aca="false">H32+I31</f>
        <v>38989240</v>
      </c>
      <c r="J32" s="14" t="n">
        <f aca="false">I32+J31</f>
        <v>37098673.33</v>
      </c>
      <c r="K32" s="14" t="n">
        <f aca="false">J32+K31</f>
        <v>35262790</v>
      </c>
      <c r="L32" s="14" t="n">
        <f aca="false">K32+L31</f>
        <v>33475893.3333333</v>
      </c>
      <c r="M32" s="14" t="n">
        <f aca="false">L32+M31</f>
        <v>31785766.6633333</v>
      </c>
      <c r="N32" s="14" t="n">
        <f aca="false">M32+N31</f>
        <v>30234933.3333333</v>
      </c>
      <c r="O32" s="14" t="n">
        <f aca="false">N32+O31</f>
        <v>29012653.3366667</v>
      </c>
      <c r="P32" s="14" t="n">
        <f aca="false">O32+P31</f>
        <v>27932596.6666667</v>
      </c>
      <c r="Q32" s="14" t="n">
        <f aca="false">P32+Q31</f>
        <v>27111236.6666667</v>
      </c>
      <c r="R32" s="14" t="n">
        <f aca="false">Q32+R31</f>
        <v>26624323.3366667</v>
      </c>
      <c r="S32" s="14" t="n">
        <f aca="false">R32+S31</f>
        <v>26514893.3333333</v>
      </c>
      <c r="T32" s="14" t="n">
        <f aca="false">S32+T31</f>
        <v>26913083.3333333</v>
      </c>
    </row>
    <row r="34" customFormat="false" ht="15" hidden="false" customHeight="false" outlineLevel="0" collapsed="false">
      <c r="A34" s="15" t="s">
        <v>71</v>
      </c>
    </row>
    <row r="35" customFormat="false" ht="15" hidden="false" customHeight="false" outlineLevel="0" collapsed="false">
      <c r="A35" s="5" t="s">
        <v>72</v>
      </c>
      <c r="B35" s="2" t="s">
        <v>62</v>
      </c>
      <c r="C35" s="14" t="n">
        <f aca="false">SUM(C29:E29)-Рычаги!$B$24</f>
        <v>0</v>
      </c>
    </row>
    <row r="36" customFormat="false" ht="15" hidden="false" customHeight="false" outlineLevel="0" collapsed="false">
      <c r="A36" s="5" t="s">
        <v>73</v>
      </c>
      <c r="B36" s="2" t="s">
        <v>62</v>
      </c>
      <c r="C36" s="14" t="n">
        <f aca="false">SUM(F29:H29)-Рычаги!$B$25</f>
        <v>0</v>
      </c>
    </row>
    <row r="37" customFormat="false" ht="15" hidden="false" customHeight="false" outlineLevel="0" collapsed="false">
      <c r="A37" s="5" t="s">
        <v>74</v>
      </c>
      <c r="B37" s="2" t="s">
        <v>62</v>
      </c>
      <c r="C37" s="14" t="n">
        <f aca="false">SUM(I29:N29)-Рычаги!$B$26</f>
        <v>0</v>
      </c>
    </row>
    <row r="38" customFormat="false" ht="15" hidden="false" customHeight="false" outlineLevel="0" collapsed="false">
      <c r="A38" s="5" t="s">
        <v>75</v>
      </c>
      <c r="B38" s="2" t="s">
        <v>62</v>
      </c>
      <c r="C38" s="14" t="n">
        <f aca="false">SUM(O29:T29)-Рычаги!$B$27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20"/>
  </cols>
  <sheetData>
    <row r="1" customFormat="false" ht="16.15" hidden="false" customHeight="false" outlineLevel="0" collapsed="false">
      <c r="A1" s="1" t="s">
        <v>76</v>
      </c>
    </row>
    <row r="2" customFormat="false" ht="15" hidden="false" customHeight="false" outlineLevel="0" collapsed="false">
      <c r="A2" s="2" t="s">
        <v>77</v>
      </c>
    </row>
    <row r="4" customFormat="false" ht="15" hidden="false" customHeight="false" outlineLevel="0" collapsed="false">
      <c r="A4" s="3" t="s">
        <v>78</v>
      </c>
      <c r="B4" s="3" t="s">
        <v>79</v>
      </c>
      <c r="C4" s="3" t="s">
        <v>80</v>
      </c>
      <c r="D4" s="3" t="s">
        <v>81</v>
      </c>
    </row>
    <row r="5" customFormat="false" ht="15" hidden="false" customHeight="false" outlineLevel="0" collapsed="false">
      <c r="A5" s="18" t="s">
        <v>82</v>
      </c>
      <c r="B5" s="6" t="n">
        <v>42000000</v>
      </c>
      <c r="C5" s="19" t="n">
        <f aca="false">Модель!T25</f>
        <v>42344280</v>
      </c>
      <c r="D5" s="20" t="str">
        <f aca="false">IF(ABS(C5-B5)&lt;=1500000,"да","НЕТ")</f>
        <v>да</v>
      </c>
    </row>
    <row r="6" customFormat="false" ht="15" hidden="false" customHeight="false" outlineLevel="0" collapsed="false">
      <c r="A6" s="18" t="s">
        <v>83</v>
      </c>
      <c r="B6" s="6" t="n">
        <v>3600000</v>
      </c>
      <c r="C6" s="19" t="n">
        <f aca="false">Модель!T24-Модель!T17</f>
        <v>3528690</v>
      </c>
      <c r="D6" s="20" t="str">
        <f aca="false">IF(ABS(C6-B6)&lt;=300000,"да","НЕТ")</f>
        <v>да</v>
      </c>
    </row>
    <row r="7" customFormat="false" ht="15" hidden="false" customHeight="false" outlineLevel="0" collapsed="false">
      <c r="A7" s="18" t="s">
        <v>84</v>
      </c>
      <c r="B7" s="6" t="n">
        <v>3600000</v>
      </c>
      <c r="C7" s="19" t="n">
        <f aca="false">Модель!T24</f>
        <v>3928690</v>
      </c>
      <c r="D7" s="20" t="str">
        <f aca="false">IF(ABS(C7-B7)&lt;=300000,"да","НЕТ")</f>
        <v>НЕТ</v>
      </c>
    </row>
    <row r="8" customFormat="false" ht="15" hidden="false" customHeight="false" outlineLevel="0" collapsed="false">
      <c r="A8" s="18" t="s">
        <v>85</v>
      </c>
      <c r="B8" s="6" t="n">
        <v>4000000</v>
      </c>
      <c r="C8" s="19" t="n">
        <f aca="false">Модель!T29</f>
        <v>3530500</v>
      </c>
      <c r="D8" s="20" t="str">
        <f aca="false">IF(ABS(C8-B8)&lt;=300000,"да","НЕТ")</f>
        <v>НЕТ</v>
      </c>
    </row>
    <row r="9" customFormat="false" ht="15" hidden="false" customHeight="false" outlineLevel="0" collapsed="false">
      <c r="A9" s="18" t="s">
        <v>86</v>
      </c>
      <c r="B9" s="6" t="n">
        <v>-350000</v>
      </c>
      <c r="C9" s="19" t="n">
        <f aca="false">Модель!T31</f>
        <v>398190</v>
      </c>
      <c r="D9" s="20" t="str">
        <f aca="false">IF(ABS(C9-B9)&lt;=300000,"да","НЕТ")</f>
        <v>НЕТ</v>
      </c>
    </row>
    <row r="10" customFormat="false" ht="15" hidden="false" customHeight="false" outlineLevel="0" collapsed="false">
      <c r="A10" s="18" t="s">
        <v>87</v>
      </c>
      <c r="B10" s="6" t="n">
        <v>21000000</v>
      </c>
      <c r="C10" s="19" t="n">
        <f aca="false">Модель!T32</f>
        <v>26913083.3333333</v>
      </c>
      <c r="D10" s="20" t="str">
        <f aca="false">IF(ABS(C10-B10)&lt;=2000000,"да","НЕТ")</f>
        <v>НЕТ</v>
      </c>
    </row>
    <row r="11" customFormat="false" ht="15" hidden="false" customHeight="false" outlineLevel="0" collapsed="false">
      <c r="A11" s="18" t="s">
        <v>88</v>
      </c>
      <c r="B11" s="8" t="n">
        <v>10</v>
      </c>
      <c r="C11" s="21" t="n">
        <f aca="false">Модель!H7</f>
        <v>10</v>
      </c>
      <c r="D11" s="20" t="str">
        <f aca="false">IF(C11&gt;=B11*0.85,"да","НЕТ")</f>
        <v>да</v>
      </c>
    </row>
    <row r="12" customFormat="false" ht="15" hidden="false" customHeight="false" outlineLevel="0" collapsed="false">
      <c r="A12" s="18" t="s">
        <v>89</v>
      </c>
      <c r="B12" s="8" t="n">
        <v>100</v>
      </c>
      <c r="C12" s="21" t="n">
        <f aca="false">Модель!Q7</f>
        <v>103</v>
      </c>
      <c r="D12" s="20" t="str">
        <f aca="false">IF(C12&gt;=B12*0.85,"да","НЕТ")</f>
        <v>да</v>
      </c>
    </row>
    <row r="13" customFormat="false" ht="15" hidden="false" customHeight="false" outlineLevel="0" collapsed="false">
      <c r="A13" s="18" t="s">
        <v>90</v>
      </c>
      <c r="B13" s="8" t="n">
        <v>157</v>
      </c>
      <c r="C13" s="21" t="n">
        <f aca="false">Модель!T7</f>
        <v>159</v>
      </c>
      <c r="D13" s="20" t="str">
        <f aca="false">IF(ABS(C13-B13)&lt;=5,"да","НЕТ")</f>
        <v>да</v>
      </c>
    </row>
    <row r="14" customFormat="false" ht="15" hidden="false" customHeight="false" outlineLevel="0" collapsed="false">
      <c r="A14" s="18" t="s">
        <v>91</v>
      </c>
      <c r="B14" s="8" t="n">
        <v>10</v>
      </c>
      <c r="C14" s="21" t="n">
        <f aca="false">Модель!H20</f>
        <v>17</v>
      </c>
      <c r="D14" s="20" t="str">
        <f aca="false">IF(C14&gt;=B14*0.85,"да","НЕТ")</f>
        <v>да</v>
      </c>
    </row>
    <row r="15" customFormat="false" ht="15" hidden="false" customHeight="false" outlineLevel="0" collapsed="false">
      <c r="A15" s="18" t="s">
        <v>92</v>
      </c>
      <c r="B15" s="8" t="n">
        <v>170</v>
      </c>
      <c r="C15" s="21" t="n">
        <f aca="false">Модель!Q20</f>
        <v>179</v>
      </c>
      <c r="D15" s="20" t="str">
        <f aca="false">IF(C15&gt;=B15*0.85,"да","НЕТ")</f>
        <v>да</v>
      </c>
    </row>
    <row r="16" customFormat="false" ht="15" hidden="false" customHeight="false" outlineLevel="0" collapsed="false">
      <c r="A16" s="18" t="s">
        <v>93</v>
      </c>
      <c r="B16" s="8" t="n">
        <v>256</v>
      </c>
      <c r="C16" s="21" t="n">
        <f aca="false">Модель!T20</f>
        <v>292</v>
      </c>
      <c r="D16" s="20" t="str">
        <f aca="false">IF(ABS(C16-B16)&lt;=10,"да","НЕТ")</f>
        <v>НЕТ</v>
      </c>
    </row>
    <row r="17" customFormat="false" ht="15" hidden="false" customHeight="false" outlineLevel="0" collapsed="false">
      <c r="A17" s="18" t="s">
        <v>94</v>
      </c>
      <c r="B17" s="8" t="n">
        <v>63500</v>
      </c>
      <c r="C17" s="21" t="n">
        <f aca="false">Модель!T14</f>
        <v>55969</v>
      </c>
      <c r="D17" s="20" t="str">
        <f aca="false">IF(ABS(C17-B17)&lt;=2000,"да","НЕТ")</f>
        <v>НЕТ</v>
      </c>
    </row>
    <row r="18" customFormat="false" ht="15" hidden="false" customHeight="false" outlineLevel="0" collapsed="false">
      <c r="A18" s="18" t="s">
        <v>95</v>
      </c>
      <c r="B18" s="8" t="n">
        <v>135</v>
      </c>
      <c r="C18" s="21" t="n">
        <f aca="false">Модель!T27</f>
        <v>135</v>
      </c>
      <c r="D18" s="20" t="str">
        <f aca="false">IF(ABS(C18-B18)&lt;=5,"да","НЕТ")</f>
        <v>да</v>
      </c>
    </row>
    <row r="20" customFormat="false" ht="15" hidden="false" customHeight="false" outlineLevel="0" collapsed="false">
      <c r="A20" s="2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2026-09-28T11:32:35Z</dcterms:created>
  <dc:creator>openpyxl</dc:creator>
  <dc:description/>
  <dc:language>en-US</dc:language>
  <cp:lastModifiedBy/>
  <dcterms:modified xsi:type="dcterms:W3CDTF">2026-09-28T11:32:35Z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