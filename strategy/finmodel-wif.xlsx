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Бюджет" sheetId="1" state="visible" r:id="rId3"/>
    <sheet name="Штат" sheetId="2" state="visible" r:id="rId4"/>
    <sheet name="Выручка" sheetId="3" state="visible" r:id="rId5"/>
    <sheet name="Рычаги" sheetId="4" state="visible" r:id="rId6"/>
    <sheet name="Годы" sheetId="5" state="visible" r:id="rId7"/>
    <sheet name="Проверк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<sst xmlns="http://schemas.openxmlformats.org/spreadsheetml/2006/main" count="367" uniqueCount="258">
  <si>
    <t xml:space="preserve">Бюджет WIF · 36 месяцев · $</t>
  </si>
  <si>
    <t xml:space="preserve">Синие — план, правится руками; колонка «Ставка» — параметр строки. Штат — на листе «Штат», поток клиентов — на листе «Выручка».</t>
  </si>
  <si>
    <t xml:space="preserve">Год 1</t>
  </si>
  <si>
    <t xml:space="preserve">Год 2</t>
  </si>
  <si>
    <t xml:space="preserve">Год 3</t>
  </si>
  <si>
    <t xml:space="preserve">Статья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</si>
  <si>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</si>
  <si>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</si>
  <si>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</si>
  <si>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</si>
  <si>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</si>
  <si>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</si>
  <si>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</si>
  <si>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</si>
  <si>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</si>
  <si>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</si>
  <si>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</si>
  <si>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</si>
  <si>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М13</t>
  </si>
  <si>
    <t xml:space="preserve">М14</t>
  </si>
  <si>
    <t xml:space="preserve">М15</t>
  </si>
  <si>
    <t xml:space="preserve">М16</t>
  </si>
  <si>
    <t xml:space="preserve">М17</t>
  </si>
  <si>
    <t xml:space="preserve">М18</t>
  </si>
  <si>
    <t xml:space="preserve">М19</t>
  </si>
  <si>
    <t xml:space="preserve">М20</t>
  </si>
  <si>
    <t xml:space="preserve">М21</t>
  </si>
  <si>
    <t xml:space="preserve">М22</t>
  </si>
  <si>
    <t xml:space="preserve">М23</t>
  </si>
  <si>
    <t xml:space="preserve">М24</t>
  </si>
  <si>
    <t xml:space="preserve">М25</t>
  </si>
  <si>
    <t xml:space="preserve">М26</t>
  </si>
  <si>
    <t xml:space="preserve">М27</t>
  </si>
  <si>
    <t xml:space="preserve">М28</t>
  </si>
  <si>
    <t xml:space="preserve">М29</t>
  </si>
  <si>
    <t xml:space="preserve">М30</t>
  </si>
  <si>
    <t xml:space="preserve">М31</t>
  </si>
  <si>
    <t xml:space="preserve">М32</t>
  </si>
  <si>
    <t xml:space="preserve">М33</t>
  </si>
  <si>
    <t xml:space="preserve">М34</t>
  </si>
  <si>
    <t xml:space="preserve">М35</t>
  </si>
  <si>
    <t xml:space="preserve">М36</t>
  </si>
  <si>
    <t xml:space="preserve">Итого</t>
  </si>
  <si>
    <t xml:space="preserve">Ставка</t>
  </si>
  <si>
    <t xml:space="preserve">ВЫРУЧКА</t>
  </si>
  <si>
    <t xml:space="preserve">   Труд: подписка компаний</t>
  </si>
  <si>
    <t xml:space="preserve">   Труд: пилоты</t>
  </si>
  <si>
    <t xml:space="preserve">   Личность: подписка</t>
  </si>
  <si>
    <t xml:space="preserve">   Личность: бренды</t>
  </si>
  <si>
    <t xml:space="preserve">   Капитал</t>
  </si>
  <si>
    <t xml:space="preserve">Выручка всего</t>
  </si>
  <si>
    <t xml:space="preserve">РАСХОДЫ</t>
  </si>
  <si>
    <t xml:space="preserve">Себестоимость</t>
  </si>
  <si>
    <t xml:space="preserve">   Инференс моделей для клиентов Труда</t>
  </si>
  <si>
    <t xml:space="preserve">   Проверка работы агентов людьми</t>
  </si>
  <si>
    <t xml:space="preserve">   Комиссии магазинов и платёжных систем, подписка</t>
  </si>
  <si>
    <t xml:space="preserve">   Хостинг и поддержка подписки</t>
  </si>
  <si>
    <t xml:space="preserve">   Производство под бренды</t>
  </si>
  <si>
    <t xml:space="preserve">   Инфраструктура биллинга, Капитал</t>
  </si>
  <si>
    <t xml:space="preserve">   Итого: себестоимость</t>
  </si>
  <si>
    <t xml:space="preserve">ФОТ</t>
  </si>
  <si>
    <t xml:space="preserve">   Основатели (CEO и партнёры)</t>
  </si>
  <si>
    <t xml:space="preserve">   Технический директор (CTO)</t>
  </si>
  <si>
    <t xml:space="preserve">   Руководитель Труда</t>
  </si>
  <si>
    <t xml:space="preserve">   Руководитель Личности, продюсер</t>
  </si>
  <si>
    <t xml:space="preserve">   Руководитель Капитала</t>
  </si>
  <si>
    <t xml:space="preserve">   Руководитель финансов и операций</t>
  </si>
  <si>
    <t xml:space="preserve">   ML- и ИИ-инженеры: агенты, модели</t>
  </si>
  <si>
    <t xml:space="preserve">   Бэкенд-разработчики</t>
  </si>
  <si>
    <t xml:space="preserve">   Фронтенд и фулстек</t>
  </si>
  <si>
    <t xml:space="preserve">   Интеграции с системами клиентов</t>
  </si>
  <si>
    <t xml:space="preserve">   DevOps и безопасность</t>
  </si>
  <si>
    <t xml:space="preserve">   Тестирование</t>
  </si>
  <si>
    <t xml:space="preserve">   Продавцы в США и Европе</t>
  </si>
  <si>
    <t xml:space="preserve">   Лидогенерация</t>
  </si>
  <si>
    <t xml:space="preserve">   Внедрение у клиентов</t>
  </si>
  <si>
    <t xml:space="preserve">   Сопровождение клиентов</t>
  </si>
  <si>
    <t xml:space="preserve">   Продюсеры и шоураннеры</t>
  </si>
  <si>
    <t xml:space="preserve">   Сценаристы</t>
  </si>
  <si>
    <t xml:space="preserve">   Художники и аниматоры</t>
  </si>
  <si>
    <t xml:space="preserve">   Монтаж и звук</t>
  </si>
  <si>
    <t xml:space="preserve">   Комьюнити и соцсети</t>
  </si>
  <si>
    <t xml:space="preserve">   Партнёрства с брендами</t>
  </si>
  <si>
    <t xml:space="preserve">   Маркетинг подписки</t>
  </si>
  <si>
    <t xml:space="preserve">   Разработчики биллинга</t>
  </si>
  <si>
    <t xml:space="preserve">   Интеграции с платформами агентов</t>
  </si>
  <si>
    <t xml:space="preserve">   Поддержка клиентов</t>
  </si>
  <si>
    <t xml:space="preserve">   Финансы и бухгалтерия</t>
  </si>
  <si>
    <t xml:space="preserve">   Юрист</t>
  </si>
  <si>
    <t xml:space="preserve">   Рекрутинг и HR</t>
  </si>
  <si>
    <t xml:space="preserve">   Маркетинг группы и PR</t>
  </si>
  <si>
    <t xml:space="preserve">   Администрирование</t>
  </si>
  <si>
    <t xml:space="preserve">   Итого: фот</t>
  </si>
  <si>
    <t xml:space="preserve">   Налоги и взносы на ФОТ</t>
  </si>
  <si>
    <t xml:space="preserve">   Найм</t>
  </si>
  <si>
    <t xml:space="preserve">Софт и инфраструктура</t>
  </si>
  <si>
    <t xml:space="preserve">   Облако и хостинг</t>
  </si>
  <si>
    <t xml:space="preserve">   Модели ИИ для разработки и своих агентов</t>
  </si>
  <si>
    <t xml:space="preserve">   Инструменты на сотрудника</t>
  </si>
  <si>
    <t xml:space="preserve">   Генерация видео и голоса, Личность</t>
  </si>
  <si>
    <t xml:space="preserve">   Итого: софт и инфраструктура</t>
  </si>
  <si>
    <t xml:space="preserve">Юрлица и финансы</t>
  </si>
  <si>
    <t xml:space="preserve">   Регистрация группы и юрлиц в США и ЕС</t>
  </si>
  <si>
    <t xml:space="preserve">   Обслуживание юрлиц, бухгалтерия, аудит</t>
  </si>
  <si>
    <t xml:space="preserve">   Внешние юристы: контракты, права</t>
  </si>
  <si>
    <t xml:space="preserve">   Права на персонажей и товарные знаки</t>
  </si>
  <si>
    <t xml:space="preserve">   Сертификация безопасности SOC 2</t>
  </si>
  <si>
    <t xml:space="preserve">   Страхование ответственности и киберрисков</t>
  </si>
  <si>
    <t xml:space="preserve">   Итого: юрлица и финансы</t>
  </si>
  <si>
    <t xml:space="preserve">Маркетинг и продажи</t>
  </si>
  <si>
    <t xml:space="preserve">   Реклама подписки Личности</t>
  </si>
  <si>
    <t xml:space="preserve">   Маркетинг Труда: кейсы, контент, мероприятия</t>
  </si>
  <si>
    <t xml:space="preserve">   Маркетинг Капитала</t>
  </si>
  <si>
    <t xml:space="preserve">   Комиссии продажам Труда</t>
  </si>
  <si>
    <t xml:space="preserve">   Конференции и командировки</t>
  </si>
  <si>
    <t xml:space="preserve">   Сайт и бренд группы</t>
  </si>
  <si>
    <t xml:space="preserve">   Поддержка сайта и бренда</t>
  </si>
  <si>
    <t xml:space="preserve">   Итого: маркетинг и продажи</t>
  </si>
  <si>
    <t xml:space="preserve">   Непредвиденные</t>
  </si>
  <si>
    <t xml:space="preserve">Расходы всего</t>
  </si>
  <si>
    <t xml:space="preserve">ДЕНЬГИ</t>
  </si>
  <si>
    <t xml:space="preserve">Денежный поток</t>
  </si>
  <si>
    <t xml:space="preserve">Накопленный поток</t>
  </si>
  <si>
    <t xml:space="preserve">Деньги на счету</t>
  </si>
  <si>
    <t xml:space="preserve">   В плюсе с этого месяца до конца, 1 = да</t>
  </si>
  <si>
    <t xml:space="preserve">   Окупилось после ямы, 1 = да</t>
  </si>
  <si>
    <t xml:space="preserve">РАСПРЕДЕЛЕНИЕ ПРИБЫЛИ</t>
  </si>
  <si>
    <t xml:space="preserve">   Положительный поток месяца</t>
  </si>
  <si>
    <t xml:space="preserve">   На развитие</t>
  </si>
  <si>
    <t xml:space="preserve">   Дивиденды</t>
  </si>
  <si>
    <t xml:space="preserve">Штат по ролям</t>
  </si>
  <si>
    <t xml:space="preserve">Число людей по месяцам — план найма, правится руками. Оклад — полная месячная стоимость человека до налогов на ФОТ. «Рук.» — руководитель направления: найм дороже.</t>
  </si>
  <si>
    <t xml:space="preserve">Оклад, $</t>
  </si>
  <si>
    <t xml:space="preserve">Роль</t>
  </si>
  <si>
    <t xml:space="preserve">Рук.</t>
  </si>
  <si>
    <t xml:space="preserve">Руководство</t>
  </si>
  <si>
    <t xml:space="preserve">Основатели (CEO и партнёры)</t>
  </si>
  <si>
    <t xml:space="preserve">Технический директор (CTO)</t>
  </si>
  <si>
    <t xml:space="preserve">да</t>
  </si>
  <si>
    <t xml:space="preserve">Руководитель Труда</t>
  </si>
  <si>
    <t xml:space="preserve">Руководитель Личности, продюсер</t>
  </si>
  <si>
    <t xml:space="preserve">Руководитель Капитала</t>
  </si>
  <si>
    <t xml:space="preserve">Руководитель финансов и операций</t>
  </si>
  <si>
    <t xml:space="preserve">Платформа</t>
  </si>
  <si>
    <t xml:space="preserve">ML- и ИИ-инженеры: агенты, модели</t>
  </si>
  <si>
    <t xml:space="preserve">Бэкенд-разработчики</t>
  </si>
  <si>
    <t xml:space="preserve">Фронтенд и фулстек</t>
  </si>
  <si>
    <t xml:space="preserve">Интеграции с системами клиентов</t>
  </si>
  <si>
    <t xml:space="preserve">DevOps и безопасность</t>
  </si>
  <si>
    <t xml:space="preserve">Тестирование</t>
  </si>
  <si>
    <t xml:space="preserve">Труд</t>
  </si>
  <si>
    <t xml:space="preserve">Продавцы в США и Европе</t>
  </si>
  <si>
    <t xml:space="preserve">Лидогенерация</t>
  </si>
  <si>
    <t xml:space="preserve">Внедрение у клиентов</t>
  </si>
  <si>
    <t xml:space="preserve">Сопровождение клиентов</t>
  </si>
  <si>
    <t xml:space="preserve">Личность</t>
  </si>
  <si>
    <t xml:space="preserve">Продюсеры и шоураннеры</t>
  </si>
  <si>
    <t xml:space="preserve">Сценаристы</t>
  </si>
  <si>
    <t xml:space="preserve">Художники и аниматоры</t>
  </si>
  <si>
    <t xml:space="preserve">Монтаж и звук</t>
  </si>
  <si>
    <t xml:space="preserve">Комьюнити и соцсети</t>
  </si>
  <si>
    <t xml:space="preserve">Партнёрства с брендами</t>
  </si>
  <si>
    <t xml:space="preserve">Маркетинг подписки</t>
  </si>
  <si>
    <t xml:space="preserve">Капитал</t>
  </si>
  <si>
    <t xml:space="preserve">Разработчики биллинга</t>
  </si>
  <si>
    <t xml:space="preserve">Интеграции с платформами агентов</t>
  </si>
  <si>
    <t xml:space="preserve">Поддержка клиентов</t>
  </si>
  <si>
    <t xml:space="preserve">Общие</t>
  </si>
  <si>
    <t xml:space="preserve">Финансы и бухгалтерия</t>
  </si>
  <si>
    <t xml:space="preserve">Юрист</t>
  </si>
  <si>
    <t xml:space="preserve">Рекрутинг и HR</t>
  </si>
  <si>
    <t xml:space="preserve">Маркетинг группы и PR</t>
  </si>
  <si>
    <t xml:space="preserve">Администрирование</t>
  </si>
  <si>
    <t xml:space="preserve">Всего людей</t>
  </si>
  <si>
    <t xml:space="preserve">Нанято руководителей</t>
  </si>
  <si>
    <t xml:space="preserve">Нанято остальных</t>
  </si>
  <si>
    <t xml:space="preserve">Выручка: поток клиентов и база</t>
  </si>
  <si>
    <t xml:space="preserve">Синие строки — план: новые клиенты, визиты, сделки, платежи. База = прошлый месяц − ROUND(прошлый × отток) + новые; все штуки целые.</t>
  </si>
  <si>
    <t xml:space="preserve">Показатель</t>
  </si>
  <si>
    <t xml:space="preserve">ТРУД · ИИ-СОТРУДНИКИ</t>
  </si>
  <si>
    <t xml:space="preserve">   Новых компаний</t>
  </si>
  <si>
    <t xml:space="preserve">   Компаний</t>
  </si>
  <si>
    <t xml:space="preserve">   Платёж компании, $/мес</t>
  </si>
  <si>
    <t xml:space="preserve">   Пилотов</t>
  </si>
  <si>
    <t xml:space="preserve">   Выручка: подписка компаний</t>
  </si>
  <si>
    <t xml:space="preserve">   Выручка: пилоты</t>
  </si>
  <si>
    <t xml:space="preserve">ЛИЧНОСТЬ · ПЕРСОНАЖИ</t>
  </si>
  <si>
    <t xml:space="preserve">   Визитов на платное предложение</t>
  </si>
  <si>
    <t xml:space="preserve">   Новых подписчиков</t>
  </si>
  <si>
    <t xml:space="preserve">   Подписчиков</t>
  </si>
  <si>
    <t xml:space="preserve">   Выручка: подписка</t>
  </si>
  <si>
    <t xml:space="preserve">   Сделок с брендами</t>
  </si>
  <si>
    <t xml:space="preserve">   Выручка: бренды</t>
  </si>
  <si>
    <t xml:space="preserve">КАПИТАЛ · УЧЁТ РАСХОДОВ НА ИИ</t>
  </si>
  <si>
    <t xml:space="preserve">   Выручка: Капитал</t>
  </si>
  <si>
    <t xml:space="preserve">ARR И ОЦЕНКА</t>
  </si>
  <si>
    <t xml:space="preserve">   ARR группы (без брендов и пилотов)</t>
  </si>
  <si>
    <t xml:space="preserve">   Оценка по мультипликаторам</t>
  </si>
  <si>
    <t xml:space="preserve">Рычаги</t>
  </si>
  <si>
    <t xml:space="preserve">Общие допущения. Ставки по отдельным статьям — в колонке «Ставка» на листе «Бюджет». Жёлтым — допущения, которых нет в стратегии.</t>
  </si>
  <si>
    <t xml:space="preserve">Рычаг</t>
  </si>
  <si>
    <t xml:space="preserve">Значение</t>
  </si>
  <si>
    <t xml:space="preserve">Откуда</t>
  </si>
  <si>
    <t xml:space="preserve">Труд: отток компаний в месяц</t>
  </si>
  <si>
    <t xml:space="preserve">target-state-18m.md</t>
  </si>
  <si>
    <t xml:space="preserve">Труд: цена пилота, $</t>
  </si>
  <si>
    <t xml:space="preserve">90-day-plan.md: $3–5 тыс.</t>
  </si>
  <si>
    <t xml:space="preserve">Личность: цена подписки, $/мес</t>
  </si>
  <si>
    <t xml:space="preserve">Личность: отток подписчиков в месяц</t>
  </si>
  <si>
    <t xml:space="preserve">Личность: конверсия визита в подписку</t>
  </si>
  <si>
    <t xml:space="preserve">Личность: чек сделки с брендом, $</t>
  </si>
  <si>
    <t xml:space="preserve">Капитал: отток компаний в месяц</t>
  </si>
  <si>
    <t xml:space="preserve">допущение, в стратегии нет</t>
  </si>
  <si>
    <t xml:space="preserve">ШТАТ</t>
  </si>
  <si>
    <t xml:space="preserve">Множитель ко всем окладам</t>
  </si>
  <si>
    <t xml:space="preserve">1 — оклады референса; 3 — уровень бюджета этапов деки</t>
  </si>
  <si>
    <t xml:space="preserve">Найм руководителя направления, $</t>
  </si>
  <si>
    <t xml:space="preserve">допущение</t>
  </si>
  <si>
    <t xml:space="preserve">Найм остальных, $ на человека</t>
  </si>
  <si>
    <t xml:space="preserve">Раунд, $</t>
  </si>
  <si>
    <t xml:space="preserve">дека v10</t>
  </si>
  <si>
    <t xml:space="preserve">ОЦЕНКА — МУЛЬТИПЛИКАТОРЫ</t>
  </si>
  <si>
    <t xml:space="preserve">Труд, × ARR</t>
  </si>
  <si>
    <t xml:space="preserve">Капитал, × ARR</t>
  </si>
  <si>
    <t xml:space="preserve">Подписка, × ARR</t>
  </si>
  <si>
    <t xml:space="preserve">Бренды, × выручки за 12 месяцев</t>
  </si>
  <si>
    <t xml:space="preserve">Бюджет по годам</t>
  </si>
  <si>
    <t xml:space="preserve">Суммы по листу «Бюджет», $. Денежный поток — до налогов на прибыль.</t>
  </si>
  <si>
    <t xml:space="preserve">Выручка</t>
  </si>
  <si>
    <t xml:space="preserve">Налоги и взносы на ФОТ</t>
  </si>
  <si>
    <t xml:space="preserve">Найм</t>
  </si>
  <si>
    <t xml:space="preserve">Непредвиденные</t>
  </si>
  <si>
    <t xml:space="preserve">Накопленный поток на конец года</t>
  </si>
  <si>
    <t xml:space="preserve">Деньги на счету на конец года</t>
  </si>
  <si>
    <t xml:space="preserve">Штат на конец года</t>
  </si>
  <si>
    <t xml:space="preserve">Итоги и сверка со стратегией</t>
  </si>
  <si>
    <t xml:space="preserve">В стратегии</t>
  </si>
  <si>
    <t xml:space="preserve">В модели</t>
  </si>
  <si>
    <t xml:space="preserve">Сходится</t>
  </si>
  <si>
    <t xml:space="preserve">ИТОГИ</t>
  </si>
  <si>
    <t xml:space="preserve">Яма: минимум накопленного потока, $</t>
  </si>
  <si>
    <t xml:space="preserve">Месяц ямы</t>
  </si>
  <si>
    <t xml:space="preserve">Окупается к месяцу</t>
  </si>
  <si>
    <t xml:space="preserve">Устойчивый плюс с месяца</t>
  </si>
  <si>
    <t xml:space="preserve">Деньги на счету к 36-му месяцу, $</t>
  </si>
  <si>
    <t xml:space="preserve">ARR к 36-му месяцу, $</t>
  </si>
  <si>
    <t xml:space="preserve">Оценка к 36-му месяцу, $</t>
  </si>
  <si>
    <t xml:space="preserve">СВЕРКА СО СТРАТЕГИЕЙ</t>
  </si>
  <si>
    <t xml:space="preserve">Штат к 3-му месяцу, не меньше 25</t>
  </si>
  <si>
    <t xml:space="preserve">Штат к 3-му месяцу, не больше 40</t>
  </si>
  <si>
    <t xml:space="preserve">Штат к 6-му месяцу, не меньше</t>
  </si>
  <si>
    <t xml:space="preserve">Штат к 18-му месяцу</t>
  </si>
  <si>
    <t xml:space="preserve">ARR к 18-му месяцу, $</t>
  </si>
  <si>
    <t xml:space="preserve">Труд: компаний к 18-му</t>
  </si>
  <si>
    <t xml:space="preserve">Капитал: компаний к 18-му</t>
  </si>
  <si>
    <t xml:space="preserve">Личность: подписчиков к 18-му</t>
  </si>
  <si>
    <t xml:space="preserve">Расходы за 18 месяцев, $ (этапы деки)</t>
  </si>
  <si>
    <t xml:space="preserve">Деньги на счету к 18-му,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</si>
</sst>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%"/>
    <numFmt numFmtId="167" formatCode="\$#,##0;&quot;($&quot;#,##0\);\-"/>
    <numFmt numFmtId="168" formatCode="\$0.00"/>
    <numFmt numFmtId="169" formatCode="0.0%"/>
    <numFmt numFmtId="17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8" min="3" style="0" width="10"/>
    <col collapsed="false" customWidth="true" hidden="false" outlineLevel="0" max="39" min="39" style="0" width="13"/>
    <col collapsed="false" customWidth="true" hidden="false" outlineLevel="0" max="40" min="40" style="0" width="9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C3" s="3" t="s">
        <v>2</v>
      </c>
      <c r="O3" s="3" t="s">
        <v>3</v>
      </c>
      <c r="AA3" s="3" t="s">
        <v>4</v>
      </c>
    </row>
    <row r="4" customFormat="false" ht="15" hidden="false" customHeight="false" outlineLevel="0" collapsed="false">
      <c r="A4" s="4"/>
      <c r="B4" s="4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5" t="s">
        <v>20</v>
      </c>
      <c r="R4" s="5" t="s">
        <v>21</v>
      </c>
      <c r="S4" s="5" t="s">
        <v>22</v>
      </c>
      <c r="T4" s="5" t="s">
        <v>23</v>
      </c>
      <c r="U4" s="5" t="s">
        <v>24</v>
      </c>
      <c r="V4" s="5" t="s">
        <v>25</v>
      </c>
      <c r="W4" s="5" t="s">
        <v>26</v>
      </c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 t="s">
        <v>35</v>
      </c>
      <c r="AG4" s="5" t="s">
        <v>36</v>
      </c>
      <c r="AH4" s="5" t="s">
        <v>37</v>
      </c>
      <c r="AI4" s="5" t="s">
        <v>38</v>
      </c>
      <c r="AJ4" s="5" t="s">
        <v>39</v>
      </c>
      <c r="AK4" s="5" t="s">
        <v>40</v>
      </c>
      <c r="AL4" s="5" t="s">
        <v>41</v>
      </c>
      <c r="AM4" s="5" t="s">
        <v>42</v>
      </c>
      <c r="AN4" s="5" t="s">
        <v>43</v>
      </c>
    </row>
    <row r="5" customFormat="false" ht="15" hidden="false" customHeight="false" outlineLevel="0" collapsed="false">
      <c r="A5" s="6"/>
      <c r="B5" s="6" t="s">
        <v>44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customFormat="false" ht="15" hidden="false" customHeight="false" outlineLevel="0" collapsed="false">
      <c r="B6" s="7" t="s">
        <v>45</v>
      </c>
      <c r="C6" s="8" t="n">
        <f aca="false">Выручка!C10</f>
        <v>0</v>
      </c>
      <c r="D6" s="8" t="n">
        <f aca="false">Выручка!D10</f>
        <v>0</v>
      </c>
      <c r="E6" s="8" t="n">
        <f aca="false">Выручка!E10</f>
        <v>0</v>
      </c>
      <c r="F6" s="8" t="n">
        <f aca="false">Выручка!F10</f>
        <v>0</v>
      </c>
      <c r="G6" s="8" t="n">
        <f aca="false">Выручка!G10</f>
        <v>0</v>
      </c>
      <c r="H6" s="8" t="n">
        <f aca="false">Выручка!H10</f>
        <v>50000</v>
      </c>
      <c r="I6" s="8" t="n">
        <f aca="false">Выручка!I10</f>
        <v>87499.95</v>
      </c>
      <c r="J6" s="8" t="n">
        <f aca="false">Выручка!J10</f>
        <v>140000.07</v>
      </c>
      <c r="K6" s="8" t="n">
        <f aca="false">Выручка!K10</f>
        <v>210000</v>
      </c>
      <c r="L6" s="8" t="n">
        <f aca="false">Выручка!L10</f>
        <v>308333.21</v>
      </c>
      <c r="M6" s="8" t="n">
        <f aca="false">Выручка!M10</f>
        <v>440000.16</v>
      </c>
      <c r="N6" s="8" t="n">
        <f aca="false">Выручка!N10</f>
        <v>600000</v>
      </c>
      <c r="O6" s="8" t="n">
        <f aca="false">Выручка!O10</f>
        <v>790833.09</v>
      </c>
      <c r="P6" s="8" t="n">
        <f aca="false">Выручка!P10</f>
        <v>1015000.29</v>
      </c>
      <c r="Q6" s="8" t="n">
        <f aca="false">Выручка!Q10</f>
        <v>1287500</v>
      </c>
      <c r="R6" s="8" t="n">
        <f aca="false">Выручка!R10</f>
        <v>1599999.6</v>
      </c>
      <c r="S6" s="8" t="n">
        <f aca="false">Выручка!S10</f>
        <v>1969167.13</v>
      </c>
      <c r="T6" s="8" t="n">
        <f aca="false">Выручка!T10</f>
        <v>2385000</v>
      </c>
      <c r="U6" s="8" t="n">
        <f aca="false">Выручка!U10</f>
        <v>2670000</v>
      </c>
      <c r="V6" s="8" t="n">
        <f aca="false">Выручка!V10</f>
        <v>2955000</v>
      </c>
      <c r="W6" s="8" t="n">
        <f aca="false">Выручка!W10</f>
        <v>3240000</v>
      </c>
      <c r="X6" s="8" t="n">
        <f aca="false">Выручка!X10</f>
        <v>3525000</v>
      </c>
      <c r="Y6" s="8" t="n">
        <f aca="false">Выручка!Y10</f>
        <v>3810000</v>
      </c>
      <c r="Z6" s="8" t="n">
        <f aca="false">Выручка!Z10</f>
        <v>4080000</v>
      </c>
      <c r="AA6" s="8" t="n">
        <f aca="false">Выручка!AA10</f>
        <v>4350000</v>
      </c>
      <c r="AB6" s="8" t="n">
        <f aca="false">Выручка!AB10</f>
        <v>4620000</v>
      </c>
      <c r="AC6" s="8" t="n">
        <f aca="false">Выручка!AC10</f>
        <v>4890000</v>
      </c>
      <c r="AD6" s="8" t="n">
        <f aca="false">Выручка!AD10</f>
        <v>5160000</v>
      </c>
      <c r="AE6" s="8" t="n">
        <f aca="false">Выручка!AE10</f>
        <v>5430000</v>
      </c>
      <c r="AF6" s="8" t="n">
        <f aca="false">Выручка!AF10</f>
        <v>5685000</v>
      </c>
      <c r="AG6" s="8" t="n">
        <f aca="false">Выручка!AG10</f>
        <v>5940000</v>
      </c>
      <c r="AH6" s="8" t="n">
        <f aca="false">Выручка!AH10</f>
        <v>6195000</v>
      </c>
      <c r="AI6" s="8" t="n">
        <f aca="false">Выручка!AI10</f>
        <v>6450000</v>
      </c>
      <c r="AJ6" s="8" t="n">
        <f aca="false">Выручка!AJ10</f>
        <v>6705000</v>
      </c>
      <c r="AK6" s="8" t="n">
        <f aca="false">Выручка!AK10</f>
        <v>6960000</v>
      </c>
      <c r="AL6" s="8" t="n">
        <f aca="false">Выручка!AL10</f>
        <v>7200000</v>
      </c>
      <c r="AM6" s="9" t="n">
        <f aca="false">SUM(C6:AL6)</f>
        <v>100748333.5</v>
      </c>
    </row>
    <row r="7" customFormat="false" ht="15" hidden="false" customHeight="false" outlineLevel="0" collapsed="false">
      <c r="B7" s="7" t="s">
        <v>46</v>
      </c>
      <c r="C7" s="8" t="n">
        <f aca="false">Выручка!C11</f>
        <v>0</v>
      </c>
      <c r="D7" s="8" t="n">
        <f aca="false">Выручка!D11</f>
        <v>4000</v>
      </c>
      <c r="E7" s="8" t="n">
        <f aca="false">Выручка!E11</f>
        <v>8000</v>
      </c>
      <c r="F7" s="8" t="n">
        <f aca="false">Выручка!F11</f>
        <v>8000</v>
      </c>
      <c r="G7" s="8" t="n">
        <f aca="false">Выручка!G11</f>
        <v>8000</v>
      </c>
      <c r="H7" s="8" t="n">
        <f aca="false">Выручка!H11</f>
        <v>0</v>
      </c>
      <c r="I7" s="8" t="n">
        <f aca="false">Выручка!I11</f>
        <v>0</v>
      </c>
      <c r="J7" s="8" t="n">
        <f aca="false">Выручка!J11</f>
        <v>0</v>
      </c>
      <c r="K7" s="8" t="n">
        <f aca="false">Выручка!K11</f>
        <v>0</v>
      </c>
      <c r="L7" s="8" t="n">
        <f aca="false">Выручка!L11</f>
        <v>0</v>
      </c>
      <c r="M7" s="8" t="n">
        <f aca="false">Выручка!M11</f>
        <v>0</v>
      </c>
      <c r="N7" s="8" t="n">
        <f aca="false">Выручка!N11</f>
        <v>0</v>
      </c>
      <c r="O7" s="8" t="n">
        <f aca="false">Выручка!O11</f>
        <v>0</v>
      </c>
      <c r="P7" s="8" t="n">
        <f aca="false">Выручка!P11</f>
        <v>0</v>
      </c>
      <c r="Q7" s="8" t="n">
        <f aca="false">Выручка!Q11</f>
        <v>0</v>
      </c>
      <c r="R7" s="8" t="n">
        <f aca="false">Выручка!R11</f>
        <v>0</v>
      </c>
      <c r="S7" s="8" t="n">
        <f aca="false">Выручка!S11</f>
        <v>0</v>
      </c>
      <c r="T7" s="8" t="n">
        <f aca="false">Выручка!T11</f>
        <v>0</v>
      </c>
      <c r="U7" s="8" t="n">
        <f aca="false">Выручка!U11</f>
        <v>0</v>
      </c>
      <c r="V7" s="8" t="n">
        <f aca="false">Выручка!V11</f>
        <v>0</v>
      </c>
      <c r="W7" s="8" t="n">
        <f aca="false">Выручка!W11</f>
        <v>0</v>
      </c>
      <c r="X7" s="8" t="n">
        <f aca="false">Выручка!X11</f>
        <v>0</v>
      </c>
      <c r="Y7" s="8" t="n">
        <f aca="false">Выручка!Y11</f>
        <v>0</v>
      </c>
      <c r="Z7" s="8" t="n">
        <f aca="false">Выручка!Z11</f>
        <v>0</v>
      </c>
      <c r="AA7" s="8" t="n">
        <f aca="false">Выручка!AA11</f>
        <v>0</v>
      </c>
      <c r="AB7" s="8" t="n">
        <f aca="false">Выручка!AB11</f>
        <v>0</v>
      </c>
      <c r="AC7" s="8" t="n">
        <f aca="false">Выручка!AC11</f>
        <v>0</v>
      </c>
      <c r="AD7" s="8" t="n">
        <f aca="false">Выручка!AD11</f>
        <v>0</v>
      </c>
      <c r="AE7" s="8" t="n">
        <f aca="false">Выручка!AE11</f>
        <v>0</v>
      </c>
      <c r="AF7" s="8" t="n">
        <f aca="false">Выручка!AF11</f>
        <v>0</v>
      </c>
      <c r="AG7" s="8" t="n">
        <f aca="false">Выручка!AG11</f>
        <v>0</v>
      </c>
      <c r="AH7" s="8" t="n">
        <f aca="false">Выручка!AH11</f>
        <v>0</v>
      </c>
      <c r="AI7" s="8" t="n">
        <f aca="false">Выручка!AI11</f>
        <v>0</v>
      </c>
      <c r="AJ7" s="8" t="n">
        <f aca="false">Выручка!AJ11</f>
        <v>0</v>
      </c>
      <c r="AK7" s="8" t="n">
        <f aca="false">Выручка!AK11</f>
        <v>0</v>
      </c>
      <c r="AL7" s="8" t="n">
        <f aca="false">Выручка!AL11</f>
        <v>0</v>
      </c>
      <c r="AM7" s="9" t="n">
        <f aca="false">SUM(C7:AL7)</f>
        <v>28000</v>
      </c>
    </row>
    <row r="8" customFormat="false" ht="15" hidden="false" customHeight="false" outlineLevel="0" collapsed="false">
      <c r="B8" s="7" t="s">
        <v>47</v>
      </c>
      <c r="C8" s="8" t="n">
        <f aca="false">Выручка!C16</f>
        <v>0</v>
      </c>
      <c r="D8" s="8" t="n">
        <f aca="false">Выручка!D16</f>
        <v>0</v>
      </c>
      <c r="E8" s="8" t="n">
        <f aca="false">Выручка!E16</f>
        <v>0</v>
      </c>
      <c r="F8" s="8" t="n">
        <f aca="false">Выручка!F16</f>
        <v>0</v>
      </c>
      <c r="G8" s="8" t="n">
        <f aca="false">Выручка!G16</f>
        <v>0</v>
      </c>
      <c r="H8" s="8" t="n">
        <f aca="false">Выручка!H16</f>
        <v>0</v>
      </c>
      <c r="I8" s="8" t="n">
        <f aca="false">Выручка!I16</f>
        <v>0</v>
      </c>
      <c r="J8" s="8" t="n">
        <f aca="false">Выручка!J16</f>
        <v>0</v>
      </c>
      <c r="K8" s="8" t="n">
        <f aca="false">Выручка!K16</f>
        <v>10830</v>
      </c>
      <c r="L8" s="8" t="n">
        <f aca="false">Выручка!L16</f>
        <v>31630</v>
      </c>
      <c r="M8" s="8" t="n">
        <f aca="false">Выручка!M16</f>
        <v>61600</v>
      </c>
      <c r="N8" s="8" t="n">
        <f aca="false">Выручка!N16</f>
        <v>100000</v>
      </c>
      <c r="O8" s="8" t="n">
        <f aca="false">Выручка!O16</f>
        <v>144520</v>
      </c>
      <c r="P8" s="8" t="n">
        <f aca="false">Выручка!P16</f>
        <v>194670</v>
      </c>
      <c r="Q8" s="8" t="n">
        <f aca="false">Выручка!Q16</f>
        <v>250000</v>
      </c>
      <c r="R8" s="8" t="n">
        <f aca="false">Выручка!R16</f>
        <v>330600</v>
      </c>
      <c r="S8" s="8" t="n">
        <f aca="false">Выручка!S16</f>
        <v>434450</v>
      </c>
      <c r="T8" s="8" t="n">
        <f aca="false">Выручка!T16</f>
        <v>559690</v>
      </c>
      <c r="U8" s="8" t="n">
        <f aca="false">Выручка!U16</f>
        <v>674910</v>
      </c>
      <c r="V8" s="8" t="n">
        <f aca="false">Выручка!V16</f>
        <v>780920</v>
      </c>
      <c r="W8" s="8" t="n">
        <f aca="false">Выручка!W16</f>
        <v>878450</v>
      </c>
      <c r="X8" s="8" t="n">
        <f aca="false">Выручка!X16</f>
        <v>968170</v>
      </c>
      <c r="Y8" s="8" t="n">
        <f aca="false">Выручка!Y16</f>
        <v>1050720</v>
      </c>
      <c r="Z8" s="8" t="n">
        <f aca="false">Выручка!Z16</f>
        <v>1126660</v>
      </c>
      <c r="AA8" s="8" t="n">
        <f aca="false">Выручка!AA16</f>
        <v>1196530</v>
      </c>
      <c r="AB8" s="8" t="n">
        <f aca="false">Выручка!AB16</f>
        <v>1260810</v>
      </c>
      <c r="AC8" s="8" t="n">
        <f aca="false">Выручка!AC16</f>
        <v>1319950</v>
      </c>
      <c r="AD8" s="8" t="n">
        <f aca="false">Выручка!AD16</f>
        <v>1374350</v>
      </c>
      <c r="AE8" s="8" t="n">
        <f aca="false">Выручка!AE16</f>
        <v>1424400</v>
      </c>
      <c r="AF8" s="8" t="n">
        <f aca="false">Выручка!AF16</f>
        <v>1470450</v>
      </c>
      <c r="AG8" s="8" t="n">
        <f aca="false">Выручка!AG16</f>
        <v>1512810</v>
      </c>
      <c r="AH8" s="8" t="n">
        <f aca="false">Выручка!AH16</f>
        <v>1551790</v>
      </c>
      <c r="AI8" s="8" t="n">
        <f aca="false">Выручка!AI16</f>
        <v>1587650</v>
      </c>
      <c r="AJ8" s="8" t="n">
        <f aca="false">Выручка!AJ16</f>
        <v>1620640</v>
      </c>
      <c r="AK8" s="8" t="n">
        <f aca="false">Выручка!AK16</f>
        <v>1650990</v>
      </c>
      <c r="AL8" s="8" t="n">
        <f aca="false">Выручка!AL16</f>
        <v>1678910</v>
      </c>
      <c r="AM8" s="9" t="n">
        <f aca="false">SUM(C8:AL8)</f>
        <v>25247100</v>
      </c>
    </row>
    <row r="9" customFormat="false" ht="15" hidden="false" customHeight="false" outlineLevel="0" collapsed="false">
      <c r="B9" s="7" t="s">
        <v>48</v>
      </c>
      <c r="C9" s="8" t="n">
        <f aca="false">Выручка!C18</f>
        <v>0</v>
      </c>
      <c r="D9" s="8" t="n">
        <f aca="false">Выручка!D18</f>
        <v>0</v>
      </c>
      <c r="E9" s="8" t="n">
        <f aca="false">Выручка!E18</f>
        <v>50000</v>
      </c>
      <c r="F9" s="8" t="n">
        <f aca="false">Выручка!F18</f>
        <v>50000</v>
      </c>
      <c r="G9" s="8" t="n">
        <f aca="false">Выручка!G18</f>
        <v>50000</v>
      </c>
      <c r="H9" s="8" t="n">
        <f aca="false">Выручка!H18</f>
        <v>50000</v>
      </c>
      <c r="I9" s="8" t="n">
        <f aca="false">Выручка!I18</f>
        <v>100000</v>
      </c>
      <c r="J9" s="8" t="n">
        <f aca="false">Выручка!J18</f>
        <v>150000</v>
      </c>
      <c r="K9" s="8" t="n">
        <f aca="false">Выручка!K18</f>
        <v>200000</v>
      </c>
      <c r="L9" s="8" t="n">
        <f aca="false">Выручка!L18</f>
        <v>200000</v>
      </c>
      <c r="M9" s="8" t="n">
        <f aca="false">Выручка!M18</f>
        <v>200000</v>
      </c>
      <c r="N9" s="8" t="n">
        <f aca="false">Выручка!N18</f>
        <v>200000</v>
      </c>
      <c r="O9" s="8" t="n">
        <f aca="false">Выручка!O18</f>
        <v>250000</v>
      </c>
      <c r="P9" s="8" t="n">
        <f aca="false">Выручка!P18</f>
        <v>250000</v>
      </c>
      <c r="Q9" s="8" t="n">
        <f aca="false">Выручка!Q18</f>
        <v>300000</v>
      </c>
      <c r="R9" s="8" t="n">
        <f aca="false">Выручка!R18</f>
        <v>350000</v>
      </c>
      <c r="S9" s="8" t="n">
        <f aca="false">Выручка!S18</f>
        <v>350000</v>
      </c>
      <c r="T9" s="8" t="n">
        <f aca="false">Выручка!T18</f>
        <v>400000</v>
      </c>
      <c r="U9" s="8" t="n">
        <f aca="false">Выручка!U18</f>
        <v>400000</v>
      </c>
      <c r="V9" s="8" t="n">
        <f aca="false">Выручка!V18</f>
        <v>400000</v>
      </c>
      <c r="W9" s="8" t="n">
        <f aca="false">Выручка!W18</f>
        <v>400000</v>
      </c>
      <c r="X9" s="8" t="n">
        <f aca="false">Выручка!X18</f>
        <v>400000</v>
      </c>
      <c r="Y9" s="8" t="n">
        <f aca="false">Выручка!Y18</f>
        <v>400000</v>
      </c>
      <c r="Z9" s="8" t="n">
        <f aca="false">Выручка!Z18</f>
        <v>400000</v>
      </c>
      <c r="AA9" s="8" t="n">
        <f aca="false">Выручка!AA18</f>
        <v>400000</v>
      </c>
      <c r="AB9" s="8" t="n">
        <f aca="false">Выручка!AB18</f>
        <v>400000</v>
      </c>
      <c r="AC9" s="8" t="n">
        <f aca="false">Выручка!AC18</f>
        <v>400000</v>
      </c>
      <c r="AD9" s="8" t="n">
        <f aca="false">Выручка!AD18</f>
        <v>400000</v>
      </c>
      <c r="AE9" s="8" t="n">
        <f aca="false">Выручка!AE18</f>
        <v>400000</v>
      </c>
      <c r="AF9" s="8" t="n">
        <f aca="false">Выручка!AF18</f>
        <v>400000</v>
      </c>
      <c r="AG9" s="8" t="n">
        <f aca="false">Выручка!AG18</f>
        <v>400000</v>
      </c>
      <c r="AH9" s="8" t="n">
        <f aca="false">Выручка!AH18</f>
        <v>400000</v>
      </c>
      <c r="AI9" s="8" t="n">
        <f aca="false">Выручка!AI18</f>
        <v>400000</v>
      </c>
      <c r="AJ9" s="8" t="n">
        <f aca="false">Выручка!AJ18</f>
        <v>400000</v>
      </c>
      <c r="AK9" s="8" t="n">
        <f aca="false">Выручка!AK18</f>
        <v>400000</v>
      </c>
      <c r="AL9" s="8" t="n">
        <f aca="false">Выручка!AL18</f>
        <v>400000</v>
      </c>
      <c r="AM9" s="9" t="n">
        <f aca="false">SUM(C9:AL9)</f>
        <v>10350000</v>
      </c>
    </row>
    <row r="10" customFormat="false" ht="15" hidden="false" customHeight="false" outlineLevel="0" collapsed="false">
      <c r="B10" s="7" t="s">
        <v>49</v>
      </c>
      <c r="C10" s="8" t="n">
        <f aca="false">Выручка!C23</f>
        <v>0</v>
      </c>
      <c r="D10" s="8" t="n">
        <f aca="false">Выручка!D23</f>
        <v>0</v>
      </c>
      <c r="E10" s="8" t="n">
        <f aca="false">Выручка!E23</f>
        <v>1600</v>
      </c>
      <c r="F10" s="8" t="n">
        <f aca="false">Выручка!F23</f>
        <v>5280</v>
      </c>
      <c r="G10" s="8" t="n">
        <f aca="false">Выручка!G23</f>
        <v>10560</v>
      </c>
      <c r="H10" s="8" t="n">
        <f aca="false">Выручка!H23</f>
        <v>17680</v>
      </c>
      <c r="I10" s="8" t="n">
        <f aca="false">Выручка!I23</f>
        <v>29120</v>
      </c>
      <c r="J10" s="8" t="n">
        <f aca="false">Выручка!J23</f>
        <v>44400</v>
      </c>
      <c r="K10" s="8" t="n">
        <f aca="false">Выручка!K23</f>
        <v>62720</v>
      </c>
      <c r="L10" s="8" t="n">
        <f aca="false">Выручка!L23</f>
        <v>87040</v>
      </c>
      <c r="M10" s="8" t="n">
        <f aca="false">Выручка!M23</f>
        <v>116640</v>
      </c>
      <c r="N10" s="8" t="n">
        <f aca="false">Выручка!N23</f>
        <v>152000</v>
      </c>
      <c r="O10" s="8" t="n">
        <f aca="false">Выручка!O23</f>
        <v>195200</v>
      </c>
      <c r="P10" s="8" t="n">
        <f aca="false">Выручка!P23</f>
        <v>248640</v>
      </c>
      <c r="Q10" s="8" t="n">
        <f aca="false">Выручка!Q23</f>
        <v>315040</v>
      </c>
      <c r="R10" s="8" t="n">
        <f aca="false">Выручка!R23</f>
        <v>391920</v>
      </c>
      <c r="S10" s="8" t="n">
        <f aca="false">Выручка!S23</f>
        <v>481920</v>
      </c>
      <c r="T10" s="8" t="n">
        <f aca="false">Выручка!T23</f>
        <v>584000</v>
      </c>
      <c r="U10" s="8" t="n">
        <f aca="false">Выручка!U23</f>
        <v>666000</v>
      </c>
      <c r="V10" s="8" t="n">
        <f aca="false">Выручка!V23</f>
        <v>746000</v>
      </c>
      <c r="W10" s="8" t="n">
        <f aca="false">Выручка!W23</f>
        <v>824000</v>
      </c>
      <c r="X10" s="8" t="n">
        <f aca="false">Выручка!X23</f>
        <v>902000</v>
      </c>
      <c r="Y10" s="8" t="n">
        <f aca="false">Выручка!Y23</f>
        <v>978000</v>
      </c>
      <c r="Z10" s="8" t="n">
        <f aca="false">Выручка!Z23</f>
        <v>1054000</v>
      </c>
      <c r="AA10" s="8" t="n">
        <f aca="false">Выручка!AA23</f>
        <v>1128000</v>
      </c>
      <c r="AB10" s="8" t="n">
        <f aca="false">Выручка!AB23</f>
        <v>1202000</v>
      </c>
      <c r="AC10" s="8" t="n">
        <f aca="false">Выручка!AC23</f>
        <v>1274000</v>
      </c>
      <c r="AD10" s="8" t="n">
        <f aca="false">Выручка!AD23</f>
        <v>1344000</v>
      </c>
      <c r="AE10" s="8" t="n">
        <f aca="false">Выручка!AE23</f>
        <v>1414000</v>
      </c>
      <c r="AF10" s="8" t="n">
        <f aca="false">Выручка!AF23</f>
        <v>1482000</v>
      </c>
      <c r="AG10" s="8" t="n">
        <f aca="false">Выручка!AG23</f>
        <v>1550000</v>
      </c>
      <c r="AH10" s="8" t="n">
        <f aca="false">Выручка!AH23</f>
        <v>1616000</v>
      </c>
      <c r="AI10" s="8" t="n">
        <f aca="false">Выручка!AI23</f>
        <v>1682000</v>
      </c>
      <c r="AJ10" s="8" t="n">
        <f aca="false">Выручка!AJ23</f>
        <v>1746000</v>
      </c>
      <c r="AK10" s="8" t="n">
        <f aca="false">Выручка!AK23</f>
        <v>1810000</v>
      </c>
      <c r="AL10" s="8" t="n">
        <f aca="false">Выручка!AL23</f>
        <v>1872000</v>
      </c>
      <c r="AM10" s="9" t="n">
        <f aca="false">SUM(C10:AL10)</f>
        <v>26033760</v>
      </c>
    </row>
    <row r="11" customFormat="false" ht="15" hidden="false" customHeight="false" outlineLevel="0" collapsed="false">
      <c r="B11" s="10" t="s">
        <v>50</v>
      </c>
      <c r="C11" s="11" t="n">
        <f aca="false">SUM(C6:C10)</f>
        <v>0</v>
      </c>
      <c r="D11" s="11" t="n">
        <f aca="false">SUM(D6:D10)</f>
        <v>4000</v>
      </c>
      <c r="E11" s="11" t="n">
        <f aca="false">SUM(E6:E10)</f>
        <v>59600</v>
      </c>
      <c r="F11" s="11" t="n">
        <f aca="false">SUM(F6:F10)</f>
        <v>63280</v>
      </c>
      <c r="G11" s="11" t="n">
        <f aca="false">SUM(G6:G10)</f>
        <v>68560</v>
      </c>
      <c r="H11" s="11" t="n">
        <f aca="false">SUM(H6:H10)</f>
        <v>117680</v>
      </c>
      <c r="I11" s="11" t="n">
        <f aca="false">SUM(I6:I10)</f>
        <v>216619.95</v>
      </c>
      <c r="J11" s="11" t="n">
        <f aca="false">SUM(J6:J10)</f>
        <v>334400.07</v>
      </c>
      <c r="K11" s="11" t="n">
        <f aca="false">SUM(K6:K10)</f>
        <v>483550</v>
      </c>
      <c r="L11" s="11" t="n">
        <f aca="false">SUM(L6:L10)</f>
        <v>627003.21</v>
      </c>
      <c r="M11" s="11" t="n">
        <f aca="false">SUM(M6:M10)</f>
        <v>818240.16</v>
      </c>
      <c r="N11" s="11" t="n">
        <f aca="false">SUM(N6:N10)</f>
        <v>1052000</v>
      </c>
      <c r="O11" s="11" t="n">
        <f aca="false">SUM(O6:O10)</f>
        <v>1380553.09</v>
      </c>
      <c r="P11" s="11" t="n">
        <f aca="false">SUM(P6:P10)</f>
        <v>1708310.29</v>
      </c>
      <c r="Q11" s="11" t="n">
        <f aca="false">SUM(Q6:Q10)</f>
        <v>2152540</v>
      </c>
      <c r="R11" s="11" t="n">
        <f aca="false">SUM(R6:R10)</f>
        <v>2672519.6</v>
      </c>
      <c r="S11" s="11" t="n">
        <f aca="false">SUM(S6:S10)</f>
        <v>3235537.13</v>
      </c>
      <c r="T11" s="11" t="n">
        <f aca="false">SUM(T6:T10)</f>
        <v>3928690</v>
      </c>
      <c r="U11" s="11" t="n">
        <f aca="false">SUM(U6:U10)</f>
        <v>4410910</v>
      </c>
      <c r="V11" s="11" t="n">
        <f aca="false">SUM(V6:V10)</f>
        <v>4881920</v>
      </c>
      <c r="W11" s="11" t="n">
        <f aca="false">SUM(W6:W10)</f>
        <v>5342450</v>
      </c>
      <c r="X11" s="11" t="n">
        <f aca="false">SUM(X6:X10)</f>
        <v>5795170</v>
      </c>
      <c r="Y11" s="11" t="n">
        <f aca="false">SUM(Y6:Y10)</f>
        <v>6238720</v>
      </c>
      <c r="Z11" s="11" t="n">
        <f aca="false">SUM(Z6:Z10)</f>
        <v>6660660</v>
      </c>
      <c r="AA11" s="11" t="n">
        <f aca="false">SUM(AA6:AA10)</f>
        <v>7074530</v>
      </c>
      <c r="AB11" s="11" t="n">
        <f aca="false">SUM(AB6:AB10)</f>
        <v>7482810</v>
      </c>
      <c r="AC11" s="11" t="n">
        <f aca="false">SUM(AC6:AC10)</f>
        <v>7883950</v>
      </c>
      <c r="AD11" s="11" t="n">
        <f aca="false">SUM(AD6:AD10)</f>
        <v>8278350</v>
      </c>
      <c r="AE11" s="11" t="n">
        <f aca="false">SUM(AE6:AE10)</f>
        <v>8668400</v>
      </c>
      <c r="AF11" s="11" t="n">
        <f aca="false">SUM(AF6:AF10)</f>
        <v>9037450</v>
      </c>
      <c r="AG11" s="11" t="n">
        <f aca="false">SUM(AG6:AG10)</f>
        <v>9402810</v>
      </c>
      <c r="AH11" s="11" t="n">
        <f aca="false">SUM(AH6:AH10)</f>
        <v>9762790</v>
      </c>
      <c r="AI11" s="11" t="n">
        <f aca="false">SUM(AI6:AI10)</f>
        <v>10119650</v>
      </c>
      <c r="AJ11" s="11" t="n">
        <f aca="false">SUM(AJ6:AJ10)</f>
        <v>10471640</v>
      </c>
      <c r="AK11" s="11" t="n">
        <f aca="false">SUM(AK6:AK10)</f>
        <v>10820990</v>
      </c>
      <c r="AL11" s="11" t="n">
        <f aca="false">SUM(AL6:AL10)</f>
        <v>11150910</v>
      </c>
      <c r="AM11" s="12" t="n">
        <f aca="false">SUM(C11:AL11)</f>
        <v>162407193.5</v>
      </c>
    </row>
    <row r="12" customFormat="false" ht="15" hidden="false" customHeight="false" outlineLevel="0" collapsed="false">
      <c r="A12" s="6"/>
      <c r="B12" s="6" t="s">
        <v>51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</row>
    <row r="13" customFormat="false" ht="15" hidden="false" customHeight="false" outlineLevel="0" collapsed="false">
      <c r="A13" s="13"/>
      <c r="B13" s="13" t="s">
        <v>52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</row>
    <row r="14" customFormat="false" ht="15" hidden="false" customHeight="false" outlineLevel="0" collapsed="false">
      <c r="B14" s="7" t="s">
        <v>53</v>
      </c>
      <c r="C14" s="9" t="n">
        <f aca="false">Выручка!C10*$AN14</f>
        <v>0</v>
      </c>
      <c r="D14" s="9" t="n">
        <f aca="false">Выручка!D10*$AN14</f>
        <v>0</v>
      </c>
      <c r="E14" s="9" t="n">
        <f aca="false">Выручка!E10*$AN14</f>
        <v>0</v>
      </c>
      <c r="F14" s="9" t="n">
        <f aca="false">Выручка!F10*$AN14</f>
        <v>0</v>
      </c>
      <c r="G14" s="9" t="n">
        <f aca="false">Выручка!G10*$AN14</f>
        <v>0</v>
      </c>
      <c r="H14" s="9" t="n">
        <f aca="false">Выручка!H10*$AN14</f>
        <v>6000</v>
      </c>
      <c r="I14" s="9" t="n">
        <f aca="false">Выручка!I10*$AN14</f>
        <v>10499.994</v>
      </c>
      <c r="J14" s="9" t="n">
        <f aca="false">Выручка!J10*$AN14</f>
        <v>16800.0084</v>
      </c>
      <c r="K14" s="9" t="n">
        <f aca="false">Выручка!K10*$AN14</f>
        <v>25200</v>
      </c>
      <c r="L14" s="9" t="n">
        <f aca="false">Выручка!L10*$AN14</f>
        <v>36999.9852</v>
      </c>
      <c r="M14" s="9" t="n">
        <f aca="false">Выручка!M10*$AN14</f>
        <v>52800.0192</v>
      </c>
      <c r="N14" s="9" t="n">
        <f aca="false">Выручка!N10*$AN14</f>
        <v>72000</v>
      </c>
      <c r="O14" s="9" t="n">
        <f aca="false">Выручка!O10*$AN14</f>
        <v>94899.9708</v>
      </c>
      <c r="P14" s="9" t="n">
        <f aca="false">Выручка!P10*$AN14</f>
        <v>121800.0348</v>
      </c>
      <c r="Q14" s="9" t="n">
        <f aca="false">Выручка!Q10*$AN14</f>
        <v>154500</v>
      </c>
      <c r="R14" s="9" t="n">
        <f aca="false">Выручка!R10*$AN14</f>
        <v>191999.952</v>
      </c>
      <c r="S14" s="9" t="n">
        <f aca="false">Выручка!S10*$AN14</f>
        <v>236300.0556</v>
      </c>
      <c r="T14" s="9" t="n">
        <f aca="false">Выручка!T10*$AN14</f>
        <v>286200</v>
      </c>
      <c r="U14" s="9" t="n">
        <f aca="false">Выручка!U10*$AN14</f>
        <v>320400</v>
      </c>
      <c r="V14" s="9" t="n">
        <f aca="false">Выручка!V10*$AN14</f>
        <v>354600</v>
      </c>
      <c r="W14" s="9" t="n">
        <f aca="false">Выручка!W10*$AN14</f>
        <v>388800</v>
      </c>
      <c r="X14" s="9" t="n">
        <f aca="false">Выручка!X10*$AN14</f>
        <v>423000</v>
      </c>
      <c r="Y14" s="9" t="n">
        <f aca="false">Выручка!Y10*$AN14</f>
        <v>457200</v>
      </c>
      <c r="Z14" s="9" t="n">
        <f aca="false">Выручка!Z10*$AN14</f>
        <v>489600</v>
      </c>
      <c r="AA14" s="9" t="n">
        <f aca="false">Выручка!AA10*$AN14</f>
        <v>522000</v>
      </c>
      <c r="AB14" s="9" t="n">
        <f aca="false">Выручка!AB10*$AN14</f>
        <v>554400</v>
      </c>
      <c r="AC14" s="9" t="n">
        <f aca="false">Выручка!AC10*$AN14</f>
        <v>586800</v>
      </c>
      <c r="AD14" s="9" t="n">
        <f aca="false">Выручка!AD10*$AN14</f>
        <v>619200</v>
      </c>
      <c r="AE14" s="9" t="n">
        <f aca="false">Выручка!AE10*$AN14</f>
        <v>651600</v>
      </c>
      <c r="AF14" s="9" t="n">
        <f aca="false">Выручка!AF10*$AN14</f>
        <v>682200</v>
      </c>
      <c r="AG14" s="9" t="n">
        <f aca="false">Выручка!AG10*$AN14</f>
        <v>712800</v>
      </c>
      <c r="AH14" s="9" t="n">
        <f aca="false">Выручка!AH10*$AN14</f>
        <v>743400</v>
      </c>
      <c r="AI14" s="9" t="n">
        <f aca="false">Выручка!AI10*$AN14</f>
        <v>774000</v>
      </c>
      <c r="AJ14" s="9" t="n">
        <f aca="false">Выручка!AJ10*$AN14</f>
        <v>804600</v>
      </c>
      <c r="AK14" s="9" t="n">
        <f aca="false">Выручка!AK10*$AN14</f>
        <v>835200</v>
      </c>
      <c r="AL14" s="9" t="n">
        <f aca="false">Выручка!AL10*$AN14</f>
        <v>864000</v>
      </c>
      <c r="AM14" s="9" t="n">
        <f aca="false">SUM(C14:AL14)</f>
        <v>12089800.02</v>
      </c>
      <c r="AN14" s="14" t="n">
        <v>0.12</v>
      </c>
    </row>
    <row r="15" customFormat="false" ht="15" hidden="false" customHeight="false" outlineLevel="0" collapsed="false">
      <c r="B15" s="7" t="s">
        <v>54</v>
      </c>
      <c r="C15" s="9" t="n">
        <f aca="false">Выручка!C10*$AN15</f>
        <v>0</v>
      </c>
      <c r="D15" s="9" t="n">
        <f aca="false">Выручка!D10*$AN15</f>
        <v>0</v>
      </c>
      <c r="E15" s="9" t="n">
        <f aca="false">Выручка!E10*$AN15</f>
        <v>0</v>
      </c>
      <c r="F15" s="9" t="n">
        <f aca="false">Выручка!F10*$AN15</f>
        <v>0</v>
      </c>
      <c r="G15" s="9" t="n">
        <f aca="false">Выручка!G10*$AN15</f>
        <v>0</v>
      </c>
      <c r="H15" s="9" t="n">
        <f aca="false">Выручка!H10*$AN15</f>
        <v>9000</v>
      </c>
      <c r="I15" s="9" t="n">
        <f aca="false">Выручка!I10*$AN15</f>
        <v>15749.991</v>
      </c>
      <c r="J15" s="9" t="n">
        <f aca="false">Выручка!J10*$AN15</f>
        <v>25200.0126</v>
      </c>
      <c r="K15" s="9" t="n">
        <f aca="false">Выручка!K10*$AN15</f>
        <v>37800</v>
      </c>
      <c r="L15" s="9" t="n">
        <f aca="false">Выручка!L10*$AN15</f>
        <v>55499.9778</v>
      </c>
      <c r="M15" s="9" t="n">
        <f aca="false">Выручка!M10*$AN15</f>
        <v>79200.0288</v>
      </c>
      <c r="N15" s="9" t="n">
        <f aca="false">Выручка!N10*$AN15</f>
        <v>108000</v>
      </c>
      <c r="O15" s="9" t="n">
        <f aca="false">Выручка!O10*$AN15</f>
        <v>142349.9562</v>
      </c>
      <c r="P15" s="9" t="n">
        <f aca="false">Выручка!P10*$AN15</f>
        <v>182700.0522</v>
      </c>
      <c r="Q15" s="9" t="n">
        <f aca="false">Выручка!Q10*$AN15</f>
        <v>231750</v>
      </c>
      <c r="R15" s="9" t="n">
        <f aca="false">Выручка!R10*$AN15</f>
        <v>287999.928</v>
      </c>
      <c r="S15" s="9" t="n">
        <f aca="false">Выручка!S10*$AN15</f>
        <v>354450.0834</v>
      </c>
      <c r="T15" s="9" t="n">
        <f aca="false">Выручка!T10*$AN15</f>
        <v>429300</v>
      </c>
      <c r="U15" s="9" t="n">
        <f aca="false">Выручка!U10*$AN15</f>
        <v>480600</v>
      </c>
      <c r="V15" s="9" t="n">
        <f aca="false">Выручка!V10*$AN15</f>
        <v>531900</v>
      </c>
      <c r="W15" s="9" t="n">
        <f aca="false">Выручка!W10*$AN15</f>
        <v>583200</v>
      </c>
      <c r="X15" s="9" t="n">
        <f aca="false">Выручка!X10*$AN15</f>
        <v>634500</v>
      </c>
      <c r="Y15" s="9" t="n">
        <f aca="false">Выручка!Y10*$AN15</f>
        <v>685800</v>
      </c>
      <c r="Z15" s="9" t="n">
        <f aca="false">Выручка!Z10*$AN15</f>
        <v>734400</v>
      </c>
      <c r="AA15" s="9" t="n">
        <f aca="false">Выручка!AA10*$AN15</f>
        <v>783000</v>
      </c>
      <c r="AB15" s="9" t="n">
        <f aca="false">Выручка!AB10*$AN15</f>
        <v>831600</v>
      </c>
      <c r="AC15" s="9" t="n">
        <f aca="false">Выручка!AC10*$AN15</f>
        <v>880200</v>
      </c>
      <c r="AD15" s="9" t="n">
        <f aca="false">Выручка!AD10*$AN15</f>
        <v>928800</v>
      </c>
      <c r="AE15" s="9" t="n">
        <f aca="false">Выручка!AE10*$AN15</f>
        <v>977400</v>
      </c>
      <c r="AF15" s="9" t="n">
        <f aca="false">Выручка!AF10*$AN15</f>
        <v>1023300</v>
      </c>
      <c r="AG15" s="9" t="n">
        <f aca="false">Выручка!AG10*$AN15</f>
        <v>1069200</v>
      </c>
      <c r="AH15" s="9" t="n">
        <f aca="false">Выручка!AH10*$AN15</f>
        <v>1115100</v>
      </c>
      <c r="AI15" s="9" t="n">
        <f aca="false">Выручка!AI10*$AN15</f>
        <v>1161000</v>
      </c>
      <c r="AJ15" s="9" t="n">
        <f aca="false">Выручка!AJ10*$AN15</f>
        <v>1206900</v>
      </c>
      <c r="AK15" s="9" t="n">
        <f aca="false">Выручка!AK10*$AN15</f>
        <v>1252800</v>
      </c>
      <c r="AL15" s="9" t="n">
        <f aca="false">Выручка!AL10*$AN15</f>
        <v>1296000</v>
      </c>
      <c r="AM15" s="9" t="n">
        <f aca="false">SUM(C15:AL15)</f>
        <v>18134700.03</v>
      </c>
      <c r="AN15" s="14" t="n">
        <v>0.18</v>
      </c>
    </row>
    <row r="16" customFormat="false" ht="15" hidden="false" customHeight="false" outlineLevel="0" collapsed="false">
      <c r="B16" s="7" t="s">
        <v>55</v>
      </c>
      <c r="C16" s="9" t="n">
        <f aca="false">Выручка!C16*$AN16</f>
        <v>0</v>
      </c>
      <c r="D16" s="9" t="n">
        <f aca="false">Выручка!D16*$AN16</f>
        <v>0</v>
      </c>
      <c r="E16" s="9" t="n">
        <f aca="false">Выручка!E16*$AN16</f>
        <v>0</v>
      </c>
      <c r="F16" s="9" t="n">
        <f aca="false">Выручка!F16*$AN16</f>
        <v>0</v>
      </c>
      <c r="G16" s="9" t="n">
        <f aca="false">Выручка!G16*$AN16</f>
        <v>0</v>
      </c>
      <c r="H16" s="9" t="n">
        <f aca="false">Выручка!H16*$AN16</f>
        <v>0</v>
      </c>
      <c r="I16" s="9" t="n">
        <f aca="false">Выручка!I16*$AN16</f>
        <v>0</v>
      </c>
      <c r="J16" s="9" t="n">
        <f aca="false">Выручка!J16*$AN16</f>
        <v>0</v>
      </c>
      <c r="K16" s="9" t="n">
        <f aca="false">Выручка!K16*$AN16</f>
        <v>1624.5</v>
      </c>
      <c r="L16" s="9" t="n">
        <f aca="false">Выручка!L16*$AN16</f>
        <v>4744.5</v>
      </c>
      <c r="M16" s="9" t="n">
        <f aca="false">Выручка!M16*$AN16</f>
        <v>9240</v>
      </c>
      <c r="N16" s="9" t="n">
        <f aca="false">Выручка!N16*$AN16</f>
        <v>15000</v>
      </c>
      <c r="O16" s="9" t="n">
        <f aca="false">Выручка!O16*$AN16</f>
        <v>21678</v>
      </c>
      <c r="P16" s="9" t="n">
        <f aca="false">Выручка!P16*$AN16</f>
        <v>29200.5</v>
      </c>
      <c r="Q16" s="9" t="n">
        <f aca="false">Выручка!Q16*$AN16</f>
        <v>37500</v>
      </c>
      <c r="R16" s="9" t="n">
        <f aca="false">Выручка!R16*$AN16</f>
        <v>49590</v>
      </c>
      <c r="S16" s="9" t="n">
        <f aca="false">Выручка!S16*$AN16</f>
        <v>65167.5</v>
      </c>
      <c r="T16" s="9" t="n">
        <f aca="false">Выручка!T16*$AN16</f>
        <v>83953.5</v>
      </c>
      <c r="U16" s="9" t="n">
        <f aca="false">Выручка!U16*$AN16</f>
        <v>101236.5</v>
      </c>
      <c r="V16" s="9" t="n">
        <f aca="false">Выручка!V16*$AN16</f>
        <v>117138</v>
      </c>
      <c r="W16" s="9" t="n">
        <f aca="false">Выручка!W16*$AN16</f>
        <v>131767.5</v>
      </c>
      <c r="X16" s="9" t="n">
        <f aca="false">Выручка!X16*$AN16</f>
        <v>145225.5</v>
      </c>
      <c r="Y16" s="9" t="n">
        <f aca="false">Выручка!Y16*$AN16</f>
        <v>157608</v>
      </c>
      <c r="Z16" s="9" t="n">
        <f aca="false">Выручка!Z16*$AN16</f>
        <v>168999</v>
      </c>
      <c r="AA16" s="9" t="n">
        <f aca="false">Выручка!AA16*$AN16</f>
        <v>179479.5</v>
      </c>
      <c r="AB16" s="9" t="n">
        <f aca="false">Выручка!AB16*$AN16</f>
        <v>189121.5</v>
      </c>
      <c r="AC16" s="9" t="n">
        <f aca="false">Выручка!AC16*$AN16</f>
        <v>197992.5</v>
      </c>
      <c r="AD16" s="9" t="n">
        <f aca="false">Выручка!AD16*$AN16</f>
        <v>206152.5</v>
      </c>
      <c r="AE16" s="9" t="n">
        <f aca="false">Выручка!AE16*$AN16</f>
        <v>213660</v>
      </c>
      <c r="AF16" s="9" t="n">
        <f aca="false">Выручка!AF16*$AN16</f>
        <v>220567.5</v>
      </c>
      <c r="AG16" s="9" t="n">
        <f aca="false">Выручка!AG16*$AN16</f>
        <v>226921.5</v>
      </c>
      <c r="AH16" s="9" t="n">
        <f aca="false">Выручка!AH16*$AN16</f>
        <v>232768.5</v>
      </c>
      <c r="AI16" s="9" t="n">
        <f aca="false">Выручка!AI16*$AN16</f>
        <v>238147.5</v>
      </c>
      <c r="AJ16" s="9" t="n">
        <f aca="false">Выручка!AJ16*$AN16</f>
        <v>243096</v>
      </c>
      <c r="AK16" s="9" t="n">
        <f aca="false">Выручка!AK16*$AN16</f>
        <v>247648.5</v>
      </c>
      <c r="AL16" s="9" t="n">
        <f aca="false">Выручка!AL16*$AN16</f>
        <v>251836.5</v>
      </c>
      <c r="AM16" s="9" t="n">
        <f aca="false">SUM(C16:AL16)</f>
        <v>3787065</v>
      </c>
      <c r="AN16" s="14" t="n">
        <v>0.15</v>
      </c>
    </row>
    <row r="17" customFormat="false" ht="15" hidden="false" customHeight="false" outlineLevel="0" collapsed="false">
      <c r="B17" s="7" t="s">
        <v>56</v>
      </c>
      <c r="C17" s="9" t="n">
        <f aca="false">Выручка!C16*$AN17</f>
        <v>0</v>
      </c>
      <c r="D17" s="9" t="n">
        <f aca="false">Выручка!D16*$AN17</f>
        <v>0</v>
      </c>
      <c r="E17" s="9" t="n">
        <f aca="false">Выручка!E16*$AN17</f>
        <v>0</v>
      </c>
      <c r="F17" s="9" t="n">
        <f aca="false">Выручка!F16*$AN17</f>
        <v>0</v>
      </c>
      <c r="G17" s="9" t="n">
        <f aca="false">Выручка!G16*$AN17</f>
        <v>0</v>
      </c>
      <c r="H17" s="9" t="n">
        <f aca="false">Выручка!H16*$AN17</f>
        <v>0</v>
      </c>
      <c r="I17" s="9" t="n">
        <f aca="false">Выручка!I16*$AN17</f>
        <v>0</v>
      </c>
      <c r="J17" s="9" t="n">
        <f aca="false">Выручка!J16*$AN17</f>
        <v>0</v>
      </c>
      <c r="K17" s="9" t="n">
        <f aca="false">Выручка!K16*$AN17</f>
        <v>1083</v>
      </c>
      <c r="L17" s="9" t="n">
        <f aca="false">Выручка!L16*$AN17</f>
        <v>3163</v>
      </c>
      <c r="M17" s="9" t="n">
        <f aca="false">Выручка!M16*$AN17</f>
        <v>6160</v>
      </c>
      <c r="N17" s="9" t="n">
        <f aca="false">Выручка!N16*$AN17</f>
        <v>10000</v>
      </c>
      <c r="O17" s="9" t="n">
        <f aca="false">Выручка!O16*$AN17</f>
        <v>14452</v>
      </c>
      <c r="P17" s="9" t="n">
        <f aca="false">Выручка!P16*$AN17</f>
        <v>19467</v>
      </c>
      <c r="Q17" s="9" t="n">
        <f aca="false">Выручка!Q16*$AN17</f>
        <v>25000</v>
      </c>
      <c r="R17" s="9" t="n">
        <f aca="false">Выручка!R16*$AN17</f>
        <v>33060</v>
      </c>
      <c r="S17" s="9" t="n">
        <f aca="false">Выручка!S16*$AN17</f>
        <v>43445</v>
      </c>
      <c r="T17" s="9" t="n">
        <f aca="false">Выручка!T16*$AN17</f>
        <v>55969</v>
      </c>
      <c r="U17" s="9" t="n">
        <f aca="false">Выручка!U16*$AN17</f>
        <v>67491</v>
      </c>
      <c r="V17" s="9" t="n">
        <f aca="false">Выручка!V16*$AN17</f>
        <v>78092</v>
      </c>
      <c r="W17" s="9" t="n">
        <f aca="false">Выручка!W16*$AN17</f>
        <v>87845</v>
      </c>
      <c r="X17" s="9" t="n">
        <f aca="false">Выручка!X16*$AN17</f>
        <v>96817</v>
      </c>
      <c r="Y17" s="9" t="n">
        <f aca="false">Выручка!Y16*$AN17</f>
        <v>105072</v>
      </c>
      <c r="Z17" s="9" t="n">
        <f aca="false">Выручка!Z16*$AN17</f>
        <v>112666</v>
      </c>
      <c r="AA17" s="9" t="n">
        <f aca="false">Выручка!AA16*$AN17</f>
        <v>119653</v>
      </c>
      <c r="AB17" s="9" t="n">
        <f aca="false">Выручка!AB16*$AN17</f>
        <v>126081</v>
      </c>
      <c r="AC17" s="9" t="n">
        <f aca="false">Выручка!AC16*$AN17</f>
        <v>131995</v>
      </c>
      <c r="AD17" s="9" t="n">
        <f aca="false">Выручка!AD16*$AN17</f>
        <v>137435</v>
      </c>
      <c r="AE17" s="9" t="n">
        <f aca="false">Выручка!AE16*$AN17</f>
        <v>142440</v>
      </c>
      <c r="AF17" s="9" t="n">
        <f aca="false">Выручка!AF16*$AN17</f>
        <v>147045</v>
      </c>
      <c r="AG17" s="9" t="n">
        <f aca="false">Выручка!AG16*$AN17</f>
        <v>151281</v>
      </c>
      <c r="AH17" s="9" t="n">
        <f aca="false">Выручка!AH16*$AN17</f>
        <v>155179</v>
      </c>
      <c r="AI17" s="9" t="n">
        <f aca="false">Выручка!AI16*$AN17</f>
        <v>158765</v>
      </c>
      <c r="AJ17" s="9" t="n">
        <f aca="false">Выручка!AJ16*$AN17</f>
        <v>162064</v>
      </c>
      <c r="AK17" s="9" t="n">
        <f aca="false">Выручка!AK16*$AN17</f>
        <v>165099</v>
      </c>
      <c r="AL17" s="9" t="n">
        <f aca="false">Выручка!AL16*$AN17</f>
        <v>167891</v>
      </c>
      <c r="AM17" s="9" t="n">
        <f aca="false">SUM(C17:AL17)</f>
        <v>2524710</v>
      </c>
      <c r="AN17" s="14" t="n">
        <v>0.1</v>
      </c>
    </row>
    <row r="18" customFormat="false" ht="15" hidden="false" customHeight="false" outlineLevel="0" collapsed="false">
      <c r="B18" s="7" t="s">
        <v>57</v>
      </c>
      <c r="C18" s="9" t="n">
        <f aca="false">Выручка!C18*$AN18</f>
        <v>0</v>
      </c>
      <c r="D18" s="9" t="n">
        <f aca="false">Выручка!D18*$AN18</f>
        <v>0</v>
      </c>
      <c r="E18" s="9" t="n">
        <f aca="false">Выручка!E18*$AN18</f>
        <v>20000</v>
      </c>
      <c r="F18" s="9" t="n">
        <f aca="false">Выручка!F18*$AN18</f>
        <v>20000</v>
      </c>
      <c r="G18" s="9" t="n">
        <f aca="false">Выручка!G18*$AN18</f>
        <v>20000</v>
      </c>
      <c r="H18" s="9" t="n">
        <f aca="false">Выручка!H18*$AN18</f>
        <v>20000</v>
      </c>
      <c r="I18" s="9" t="n">
        <f aca="false">Выручка!I18*$AN18</f>
        <v>40000</v>
      </c>
      <c r="J18" s="9" t="n">
        <f aca="false">Выручка!J18*$AN18</f>
        <v>60000</v>
      </c>
      <c r="K18" s="9" t="n">
        <f aca="false">Выручка!K18*$AN18</f>
        <v>80000</v>
      </c>
      <c r="L18" s="9" t="n">
        <f aca="false">Выручка!L18*$AN18</f>
        <v>80000</v>
      </c>
      <c r="M18" s="9" t="n">
        <f aca="false">Выручка!M18*$AN18</f>
        <v>80000</v>
      </c>
      <c r="N18" s="9" t="n">
        <f aca="false">Выручка!N18*$AN18</f>
        <v>80000</v>
      </c>
      <c r="O18" s="9" t="n">
        <f aca="false">Выручка!O18*$AN18</f>
        <v>100000</v>
      </c>
      <c r="P18" s="9" t="n">
        <f aca="false">Выручка!P18*$AN18</f>
        <v>100000</v>
      </c>
      <c r="Q18" s="9" t="n">
        <f aca="false">Выручка!Q18*$AN18</f>
        <v>120000</v>
      </c>
      <c r="R18" s="9" t="n">
        <f aca="false">Выручка!R18*$AN18</f>
        <v>140000</v>
      </c>
      <c r="S18" s="9" t="n">
        <f aca="false">Выручка!S18*$AN18</f>
        <v>140000</v>
      </c>
      <c r="T18" s="9" t="n">
        <f aca="false">Выручка!T18*$AN18</f>
        <v>160000</v>
      </c>
      <c r="U18" s="9" t="n">
        <f aca="false">Выручка!U18*$AN18</f>
        <v>160000</v>
      </c>
      <c r="V18" s="9" t="n">
        <f aca="false">Выручка!V18*$AN18</f>
        <v>160000</v>
      </c>
      <c r="W18" s="9" t="n">
        <f aca="false">Выручка!W18*$AN18</f>
        <v>160000</v>
      </c>
      <c r="X18" s="9" t="n">
        <f aca="false">Выручка!X18*$AN18</f>
        <v>160000</v>
      </c>
      <c r="Y18" s="9" t="n">
        <f aca="false">Выручка!Y18*$AN18</f>
        <v>160000</v>
      </c>
      <c r="Z18" s="9" t="n">
        <f aca="false">Выручка!Z18*$AN18</f>
        <v>160000</v>
      </c>
      <c r="AA18" s="9" t="n">
        <f aca="false">Выручка!AA18*$AN18</f>
        <v>160000</v>
      </c>
      <c r="AB18" s="9" t="n">
        <f aca="false">Выручка!AB18*$AN18</f>
        <v>160000</v>
      </c>
      <c r="AC18" s="9" t="n">
        <f aca="false">Выручка!AC18*$AN18</f>
        <v>160000</v>
      </c>
      <c r="AD18" s="9" t="n">
        <f aca="false">Выручка!AD18*$AN18</f>
        <v>160000</v>
      </c>
      <c r="AE18" s="9" t="n">
        <f aca="false">Выручка!AE18*$AN18</f>
        <v>160000</v>
      </c>
      <c r="AF18" s="9" t="n">
        <f aca="false">Выручка!AF18*$AN18</f>
        <v>160000</v>
      </c>
      <c r="AG18" s="9" t="n">
        <f aca="false">Выручка!AG18*$AN18</f>
        <v>160000</v>
      </c>
      <c r="AH18" s="9" t="n">
        <f aca="false">Выручка!AH18*$AN18</f>
        <v>160000</v>
      </c>
      <c r="AI18" s="9" t="n">
        <f aca="false">Выручка!AI18*$AN18</f>
        <v>160000</v>
      </c>
      <c r="AJ18" s="9" t="n">
        <f aca="false">Выручка!AJ18*$AN18</f>
        <v>160000</v>
      </c>
      <c r="AK18" s="9" t="n">
        <f aca="false">Выручка!AK18*$AN18</f>
        <v>160000</v>
      </c>
      <c r="AL18" s="9" t="n">
        <f aca="false">Выручка!AL18*$AN18</f>
        <v>160000</v>
      </c>
      <c r="AM18" s="9" t="n">
        <f aca="false">SUM(C18:AL18)</f>
        <v>4140000</v>
      </c>
      <c r="AN18" s="14" t="n">
        <v>0.4</v>
      </c>
    </row>
    <row r="19" customFormat="false" ht="15" hidden="false" customHeight="false" outlineLevel="0" collapsed="false">
      <c r="B19" s="7" t="s">
        <v>58</v>
      </c>
      <c r="C19" s="9" t="n">
        <f aca="false">Выручка!C23*$AN19</f>
        <v>0</v>
      </c>
      <c r="D19" s="9" t="n">
        <f aca="false">Выручка!D23*$AN19</f>
        <v>0</v>
      </c>
      <c r="E19" s="9" t="n">
        <f aca="false">Выручка!E23*$AN19</f>
        <v>240</v>
      </c>
      <c r="F19" s="9" t="n">
        <f aca="false">Выручка!F23*$AN19</f>
        <v>792</v>
      </c>
      <c r="G19" s="9" t="n">
        <f aca="false">Выручка!G23*$AN19</f>
        <v>1584</v>
      </c>
      <c r="H19" s="9" t="n">
        <f aca="false">Выручка!H23*$AN19</f>
        <v>2652</v>
      </c>
      <c r="I19" s="9" t="n">
        <f aca="false">Выручка!I23*$AN19</f>
        <v>4368</v>
      </c>
      <c r="J19" s="9" t="n">
        <f aca="false">Выручка!J23*$AN19</f>
        <v>6660</v>
      </c>
      <c r="K19" s="9" t="n">
        <f aca="false">Выручка!K23*$AN19</f>
        <v>9408</v>
      </c>
      <c r="L19" s="9" t="n">
        <f aca="false">Выручка!L23*$AN19</f>
        <v>13056</v>
      </c>
      <c r="M19" s="9" t="n">
        <f aca="false">Выручка!M23*$AN19</f>
        <v>17496</v>
      </c>
      <c r="N19" s="9" t="n">
        <f aca="false">Выручка!N23*$AN19</f>
        <v>22800</v>
      </c>
      <c r="O19" s="9" t="n">
        <f aca="false">Выручка!O23*$AN19</f>
        <v>29280</v>
      </c>
      <c r="P19" s="9" t="n">
        <f aca="false">Выручка!P23*$AN19</f>
        <v>37296</v>
      </c>
      <c r="Q19" s="9" t="n">
        <f aca="false">Выручка!Q23*$AN19</f>
        <v>47256</v>
      </c>
      <c r="R19" s="9" t="n">
        <f aca="false">Выручка!R23*$AN19</f>
        <v>58788</v>
      </c>
      <c r="S19" s="9" t="n">
        <f aca="false">Выручка!S23*$AN19</f>
        <v>72288</v>
      </c>
      <c r="T19" s="9" t="n">
        <f aca="false">Выручка!T23*$AN19</f>
        <v>87600</v>
      </c>
      <c r="U19" s="9" t="n">
        <f aca="false">Выручка!U23*$AN19</f>
        <v>99900</v>
      </c>
      <c r="V19" s="9" t="n">
        <f aca="false">Выручка!V23*$AN19</f>
        <v>111900</v>
      </c>
      <c r="W19" s="9" t="n">
        <f aca="false">Выручка!W23*$AN19</f>
        <v>123600</v>
      </c>
      <c r="X19" s="9" t="n">
        <f aca="false">Выручка!X23*$AN19</f>
        <v>135300</v>
      </c>
      <c r="Y19" s="9" t="n">
        <f aca="false">Выручка!Y23*$AN19</f>
        <v>146700</v>
      </c>
      <c r="Z19" s="9" t="n">
        <f aca="false">Выручка!Z23*$AN19</f>
        <v>158100</v>
      </c>
      <c r="AA19" s="9" t="n">
        <f aca="false">Выручка!AA23*$AN19</f>
        <v>169200</v>
      </c>
      <c r="AB19" s="9" t="n">
        <f aca="false">Выручка!AB23*$AN19</f>
        <v>180300</v>
      </c>
      <c r="AC19" s="9" t="n">
        <f aca="false">Выручка!AC23*$AN19</f>
        <v>191100</v>
      </c>
      <c r="AD19" s="9" t="n">
        <f aca="false">Выручка!AD23*$AN19</f>
        <v>201600</v>
      </c>
      <c r="AE19" s="9" t="n">
        <f aca="false">Выручка!AE23*$AN19</f>
        <v>212100</v>
      </c>
      <c r="AF19" s="9" t="n">
        <f aca="false">Выручка!AF23*$AN19</f>
        <v>222300</v>
      </c>
      <c r="AG19" s="9" t="n">
        <f aca="false">Выручка!AG23*$AN19</f>
        <v>232500</v>
      </c>
      <c r="AH19" s="9" t="n">
        <f aca="false">Выручка!AH23*$AN19</f>
        <v>242400</v>
      </c>
      <c r="AI19" s="9" t="n">
        <f aca="false">Выручка!AI23*$AN19</f>
        <v>252300</v>
      </c>
      <c r="AJ19" s="9" t="n">
        <f aca="false">Выручка!AJ23*$AN19</f>
        <v>261900</v>
      </c>
      <c r="AK19" s="9" t="n">
        <f aca="false">Выручка!AK23*$AN19</f>
        <v>271500</v>
      </c>
      <c r="AL19" s="9" t="n">
        <f aca="false">Выручка!AL23*$AN19</f>
        <v>280800</v>
      </c>
      <c r="AM19" s="9" t="n">
        <f aca="false">SUM(C19:AL19)</f>
        <v>3905064</v>
      </c>
      <c r="AN19" s="14" t="n">
        <v>0.15</v>
      </c>
    </row>
    <row r="20" customFormat="false" ht="15" hidden="false" customHeight="false" outlineLevel="0" collapsed="false">
      <c r="B20" s="10" t="s">
        <v>59</v>
      </c>
      <c r="C20" s="11" t="n">
        <f aca="false">SUM(C14:C19)</f>
        <v>0</v>
      </c>
      <c r="D20" s="11" t="n">
        <f aca="false">SUM(D14:D19)</f>
        <v>0</v>
      </c>
      <c r="E20" s="11" t="n">
        <f aca="false">SUM(E14:E19)</f>
        <v>20240</v>
      </c>
      <c r="F20" s="11" t="n">
        <f aca="false">SUM(F14:F19)</f>
        <v>20792</v>
      </c>
      <c r="G20" s="11" t="n">
        <f aca="false">SUM(G14:G19)</f>
        <v>21584</v>
      </c>
      <c r="H20" s="11" t="n">
        <f aca="false">SUM(H14:H19)</f>
        <v>37652</v>
      </c>
      <c r="I20" s="11" t="n">
        <f aca="false">SUM(I14:I19)</f>
        <v>70617.985</v>
      </c>
      <c r="J20" s="11" t="n">
        <f aca="false">SUM(J14:J19)</f>
        <v>108660.021</v>
      </c>
      <c r="K20" s="11" t="n">
        <f aca="false">SUM(K14:K19)</f>
        <v>155115.5</v>
      </c>
      <c r="L20" s="11" t="n">
        <f aca="false">SUM(L14:L19)</f>
        <v>193463.463</v>
      </c>
      <c r="M20" s="11" t="n">
        <f aca="false">SUM(M14:M19)</f>
        <v>244896.048</v>
      </c>
      <c r="N20" s="11" t="n">
        <f aca="false">SUM(N14:N19)</f>
        <v>307800</v>
      </c>
      <c r="O20" s="11" t="n">
        <f aca="false">SUM(O14:O19)</f>
        <v>402659.927</v>
      </c>
      <c r="P20" s="11" t="n">
        <f aca="false">SUM(P14:P19)</f>
        <v>490463.587</v>
      </c>
      <c r="Q20" s="11" t="n">
        <f aca="false">SUM(Q14:Q19)</f>
        <v>616006</v>
      </c>
      <c r="R20" s="11" t="n">
        <f aca="false">SUM(R14:R19)</f>
        <v>761437.88</v>
      </c>
      <c r="S20" s="11" t="n">
        <f aca="false">SUM(S14:S19)</f>
        <v>911650.639</v>
      </c>
      <c r="T20" s="11" t="n">
        <f aca="false">SUM(T14:T19)</f>
        <v>1103022.5</v>
      </c>
      <c r="U20" s="11" t="n">
        <f aca="false">SUM(U14:U19)</f>
        <v>1229627.5</v>
      </c>
      <c r="V20" s="11" t="n">
        <f aca="false">SUM(V14:V19)</f>
        <v>1353630</v>
      </c>
      <c r="W20" s="11" t="n">
        <f aca="false">SUM(W14:W19)</f>
        <v>1475212.5</v>
      </c>
      <c r="X20" s="11" t="n">
        <f aca="false">SUM(X14:X19)</f>
        <v>1594842.5</v>
      </c>
      <c r="Y20" s="11" t="n">
        <f aca="false">SUM(Y14:Y19)</f>
        <v>1712380</v>
      </c>
      <c r="Z20" s="11" t="n">
        <f aca="false">SUM(Z14:Z19)</f>
        <v>1823765</v>
      </c>
      <c r="AA20" s="11" t="n">
        <f aca="false">SUM(AA14:AA19)</f>
        <v>1933332.5</v>
      </c>
      <c r="AB20" s="11" t="n">
        <f aca="false">SUM(AB14:AB19)</f>
        <v>2041502.5</v>
      </c>
      <c r="AC20" s="11" t="n">
        <f aca="false">SUM(AC14:AC19)</f>
        <v>2148087.5</v>
      </c>
      <c r="AD20" s="11" t="n">
        <f aca="false">SUM(AD14:AD19)</f>
        <v>2253187.5</v>
      </c>
      <c r="AE20" s="11" t="n">
        <f aca="false">SUM(AE14:AE19)</f>
        <v>2357200</v>
      </c>
      <c r="AF20" s="11" t="n">
        <f aca="false">SUM(AF14:AF19)</f>
        <v>2455412.5</v>
      </c>
      <c r="AG20" s="11" t="n">
        <f aca="false">SUM(AG14:AG19)</f>
        <v>2552702.5</v>
      </c>
      <c r="AH20" s="11" t="n">
        <f aca="false">SUM(AH14:AH19)</f>
        <v>2648847.5</v>
      </c>
      <c r="AI20" s="11" t="n">
        <f aca="false">SUM(AI14:AI19)</f>
        <v>2744212.5</v>
      </c>
      <c r="AJ20" s="11" t="n">
        <f aca="false">SUM(AJ14:AJ19)</f>
        <v>2838560</v>
      </c>
      <c r="AK20" s="11" t="n">
        <f aca="false">SUM(AK14:AK19)</f>
        <v>2932247.5</v>
      </c>
      <c r="AL20" s="11" t="n">
        <f aca="false">SUM(AL14:AL19)</f>
        <v>3020527.5</v>
      </c>
      <c r="AM20" s="12" t="n">
        <f aca="false">SUM(C20:AL20)</f>
        <v>44581339.05</v>
      </c>
    </row>
    <row r="21" customFormat="false" ht="15" hidden="false" customHeight="false" outlineLevel="0" collapsed="false">
      <c r="A21" s="13"/>
      <c r="B21" s="13" t="s">
        <v>60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</row>
    <row r="22" customFormat="false" ht="15" hidden="false" customHeight="false" outlineLevel="0" collapsed="false">
      <c r="B22" s="7" t="s">
        <v>61</v>
      </c>
      <c r="C22" s="9" t="n">
        <f aca="false">Штат!C6*Штат!$A$6*Рычаги!$B$14</f>
        <v>21000</v>
      </c>
      <c r="D22" s="9" t="n">
        <f aca="false">Штат!D6*Штат!$A$6*Рычаги!$B$14</f>
        <v>21000</v>
      </c>
      <c r="E22" s="9" t="n">
        <f aca="false">Штат!E6*Штат!$A$6*Рычаги!$B$14</f>
        <v>21000</v>
      </c>
      <c r="F22" s="9" t="n">
        <f aca="false">Штат!F6*Штат!$A$6*Рычаги!$B$14</f>
        <v>21000</v>
      </c>
      <c r="G22" s="9" t="n">
        <f aca="false">Штат!G6*Штат!$A$6*Рычаги!$B$14</f>
        <v>21000</v>
      </c>
      <c r="H22" s="9" t="n">
        <f aca="false">Штат!H6*Штат!$A$6*Рычаги!$B$14</f>
        <v>21000</v>
      </c>
      <c r="I22" s="9" t="n">
        <f aca="false">Штат!I6*Штат!$A$6*Рычаги!$B$14</f>
        <v>21000</v>
      </c>
      <c r="J22" s="9" t="n">
        <f aca="false">Штат!J6*Штат!$A$6*Рычаги!$B$14</f>
        <v>21000</v>
      </c>
      <c r="K22" s="9" t="n">
        <f aca="false">Штат!K6*Штат!$A$6*Рычаги!$B$14</f>
        <v>21000</v>
      </c>
      <c r="L22" s="9" t="n">
        <f aca="false">Штат!L6*Штат!$A$6*Рычаги!$B$14</f>
        <v>21000</v>
      </c>
      <c r="M22" s="9" t="n">
        <f aca="false">Штат!M6*Штат!$A$6*Рычаги!$B$14</f>
        <v>21000</v>
      </c>
      <c r="N22" s="9" t="n">
        <f aca="false">Штат!N6*Штат!$A$6*Рычаги!$B$14</f>
        <v>21000</v>
      </c>
      <c r="O22" s="9" t="n">
        <f aca="false">Штат!O6*Штат!$A$6*Рычаги!$B$14</f>
        <v>21000</v>
      </c>
      <c r="P22" s="9" t="n">
        <f aca="false">Штат!P6*Штат!$A$6*Рычаги!$B$14</f>
        <v>21000</v>
      </c>
      <c r="Q22" s="9" t="n">
        <f aca="false">Штат!Q6*Штат!$A$6*Рычаги!$B$14</f>
        <v>21000</v>
      </c>
      <c r="R22" s="9" t="n">
        <f aca="false">Штат!R6*Штат!$A$6*Рычаги!$B$14</f>
        <v>21000</v>
      </c>
      <c r="S22" s="9" t="n">
        <f aca="false">Штат!S6*Штат!$A$6*Рычаги!$B$14</f>
        <v>21000</v>
      </c>
      <c r="T22" s="9" t="n">
        <f aca="false">Штат!T6*Штат!$A$6*Рычаги!$B$14</f>
        <v>21000</v>
      </c>
      <c r="U22" s="9" t="n">
        <f aca="false">Штат!U6*Штат!$A$6*Рычаги!$B$14</f>
        <v>21000</v>
      </c>
      <c r="V22" s="9" t="n">
        <f aca="false">Штат!V6*Штат!$A$6*Рычаги!$B$14</f>
        <v>21000</v>
      </c>
      <c r="W22" s="9" t="n">
        <f aca="false">Штат!W6*Штат!$A$6*Рычаги!$B$14</f>
        <v>21000</v>
      </c>
      <c r="X22" s="9" t="n">
        <f aca="false">Штат!X6*Штат!$A$6*Рычаги!$B$14</f>
        <v>21000</v>
      </c>
      <c r="Y22" s="9" t="n">
        <f aca="false">Штат!Y6*Штат!$A$6*Рычаги!$B$14</f>
        <v>21000</v>
      </c>
      <c r="Z22" s="9" t="n">
        <f aca="false">Штат!Z6*Штат!$A$6*Рычаги!$B$14</f>
        <v>21000</v>
      </c>
      <c r="AA22" s="9" t="n">
        <f aca="false">Штат!AA6*Штат!$A$6*Рычаги!$B$14</f>
        <v>21000</v>
      </c>
      <c r="AB22" s="9" t="n">
        <f aca="false">Штат!AB6*Штат!$A$6*Рычаги!$B$14</f>
        <v>21000</v>
      </c>
      <c r="AC22" s="9" t="n">
        <f aca="false">Штат!AC6*Штат!$A$6*Рычаги!$B$14</f>
        <v>21000</v>
      </c>
      <c r="AD22" s="9" t="n">
        <f aca="false">Штат!AD6*Штат!$A$6*Рычаги!$B$14</f>
        <v>21000</v>
      </c>
      <c r="AE22" s="9" t="n">
        <f aca="false">Штат!AE6*Штат!$A$6*Рычаги!$B$14</f>
        <v>21000</v>
      </c>
      <c r="AF22" s="9" t="n">
        <f aca="false">Штат!AF6*Штат!$A$6*Рычаги!$B$14</f>
        <v>21000</v>
      </c>
      <c r="AG22" s="9" t="n">
        <f aca="false">Штат!AG6*Штат!$A$6*Рычаги!$B$14</f>
        <v>21000</v>
      </c>
      <c r="AH22" s="9" t="n">
        <f aca="false">Штат!AH6*Штат!$A$6*Рычаги!$B$14</f>
        <v>21000</v>
      </c>
      <c r="AI22" s="9" t="n">
        <f aca="false">Штат!AI6*Штат!$A$6*Рычаги!$B$14</f>
        <v>21000</v>
      </c>
      <c r="AJ22" s="9" t="n">
        <f aca="false">Штат!AJ6*Штат!$A$6*Рычаги!$B$14</f>
        <v>21000</v>
      </c>
      <c r="AK22" s="9" t="n">
        <f aca="false">Штат!AK6*Штат!$A$6*Рычаги!$B$14</f>
        <v>21000</v>
      </c>
      <c r="AL22" s="9" t="n">
        <f aca="false">Штат!AL6*Штат!$A$6*Рычаги!$B$14</f>
        <v>21000</v>
      </c>
      <c r="AM22" s="9" t="n">
        <f aca="false">SUM(C22:AL22)</f>
        <v>756000</v>
      </c>
    </row>
    <row r="23" customFormat="false" ht="15" hidden="false" customHeight="false" outlineLevel="0" collapsed="false">
      <c r="B23" s="7" t="s">
        <v>62</v>
      </c>
      <c r="C23" s="9" t="n">
        <f aca="false">Штат!C7*Штат!$A$7*Рычаги!$B$14</f>
        <v>12500</v>
      </c>
      <c r="D23" s="9" t="n">
        <f aca="false">Штат!D7*Штат!$A$7*Рычаги!$B$14</f>
        <v>12500</v>
      </c>
      <c r="E23" s="9" t="n">
        <f aca="false">Штат!E7*Штат!$A$7*Рычаги!$B$14</f>
        <v>12500</v>
      </c>
      <c r="F23" s="9" t="n">
        <f aca="false">Штат!F7*Штат!$A$7*Рычаги!$B$14</f>
        <v>12500</v>
      </c>
      <c r="G23" s="9" t="n">
        <f aca="false">Штат!G7*Штат!$A$7*Рычаги!$B$14</f>
        <v>12500</v>
      </c>
      <c r="H23" s="9" t="n">
        <f aca="false">Штат!H7*Штат!$A$7*Рычаги!$B$14</f>
        <v>12500</v>
      </c>
      <c r="I23" s="9" t="n">
        <f aca="false">Штат!I7*Штат!$A$7*Рычаги!$B$14</f>
        <v>12500</v>
      </c>
      <c r="J23" s="9" t="n">
        <f aca="false">Штат!J7*Штат!$A$7*Рычаги!$B$14</f>
        <v>12500</v>
      </c>
      <c r="K23" s="9" t="n">
        <f aca="false">Штат!K7*Штат!$A$7*Рычаги!$B$14</f>
        <v>12500</v>
      </c>
      <c r="L23" s="9" t="n">
        <f aca="false">Штат!L7*Штат!$A$7*Рычаги!$B$14</f>
        <v>12500</v>
      </c>
      <c r="M23" s="9" t="n">
        <f aca="false">Штат!M7*Штат!$A$7*Рычаги!$B$14</f>
        <v>12500</v>
      </c>
      <c r="N23" s="9" t="n">
        <f aca="false">Штат!N7*Штат!$A$7*Рычаги!$B$14</f>
        <v>12500</v>
      </c>
      <c r="O23" s="9" t="n">
        <f aca="false">Штат!O7*Штат!$A$7*Рычаги!$B$14</f>
        <v>12500</v>
      </c>
      <c r="P23" s="9" t="n">
        <f aca="false">Штат!P7*Штат!$A$7*Рычаги!$B$14</f>
        <v>12500</v>
      </c>
      <c r="Q23" s="9" t="n">
        <f aca="false">Штат!Q7*Штат!$A$7*Рычаги!$B$14</f>
        <v>12500</v>
      </c>
      <c r="R23" s="9" t="n">
        <f aca="false">Штат!R7*Штат!$A$7*Рычаги!$B$14</f>
        <v>12500</v>
      </c>
      <c r="S23" s="9" t="n">
        <f aca="false">Штат!S7*Штат!$A$7*Рычаги!$B$14</f>
        <v>12500</v>
      </c>
      <c r="T23" s="9" t="n">
        <f aca="false">Штат!T7*Штат!$A$7*Рычаги!$B$14</f>
        <v>12500</v>
      </c>
      <c r="U23" s="9" t="n">
        <f aca="false">Штат!U7*Штат!$A$7*Рычаги!$B$14</f>
        <v>12500</v>
      </c>
      <c r="V23" s="9" t="n">
        <f aca="false">Штат!V7*Штат!$A$7*Рычаги!$B$14</f>
        <v>12500</v>
      </c>
      <c r="W23" s="9" t="n">
        <f aca="false">Штат!W7*Штат!$A$7*Рычаги!$B$14</f>
        <v>12500</v>
      </c>
      <c r="X23" s="9" t="n">
        <f aca="false">Штат!X7*Штат!$A$7*Рычаги!$B$14</f>
        <v>12500</v>
      </c>
      <c r="Y23" s="9" t="n">
        <f aca="false">Штат!Y7*Штат!$A$7*Рычаги!$B$14</f>
        <v>12500</v>
      </c>
      <c r="Z23" s="9" t="n">
        <f aca="false">Штат!Z7*Штат!$A$7*Рычаги!$B$14</f>
        <v>12500</v>
      </c>
      <c r="AA23" s="9" t="n">
        <f aca="false">Штат!AA7*Штат!$A$7*Рычаги!$B$14</f>
        <v>12500</v>
      </c>
      <c r="AB23" s="9" t="n">
        <f aca="false">Штат!AB7*Штат!$A$7*Рычаги!$B$14</f>
        <v>12500</v>
      </c>
      <c r="AC23" s="9" t="n">
        <f aca="false">Штат!AC7*Штат!$A$7*Рычаги!$B$14</f>
        <v>12500</v>
      </c>
      <c r="AD23" s="9" t="n">
        <f aca="false">Штат!AD7*Штат!$A$7*Рычаги!$B$14</f>
        <v>12500</v>
      </c>
      <c r="AE23" s="9" t="n">
        <f aca="false">Штат!AE7*Штат!$A$7*Рычаги!$B$14</f>
        <v>12500</v>
      </c>
      <c r="AF23" s="9" t="n">
        <f aca="false">Штат!AF7*Штат!$A$7*Рычаги!$B$14</f>
        <v>12500</v>
      </c>
      <c r="AG23" s="9" t="n">
        <f aca="false">Штат!AG7*Штат!$A$7*Рычаги!$B$14</f>
        <v>12500</v>
      </c>
      <c r="AH23" s="9" t="n">
        <f aca="false">Штат!AH7*Штат!$A$7*Рычаги!$B$14</f>
        <v>12500</v>
      </c>
      <c r="AI23" s="9" t="n">
        <f aca="false">Штат!AI7*Штат!$A$7*Рычаги!$B$14</f>
        <v>12500</v>
      </c>
      <c r="AJ23" s="9" t="n">
        <f aca="false">Штат!AJ7*Штат!$A$7*Рычаги!$B$14</f>
        <v>12500</v>
      </c>
      <c r="AK23" s="9" t="n">
        <f aca="false">Штат!AK7*Штат!$A$7*Рычаги!$B$14</f>
        <v>12500</v>
      </c>
      <c r="AL23" s="9" t="n">
        <f aca="false">Штат!AL7*Штат!$A$7*Рычаги!$B$14</f>
        <v>12500</v>
      </c>
      <c r="AM23" s="9" t="n">
        <f aca="false">SUM(C23:AL23)</f>
        <v>450000</v>
      </c>
    </row>
    <row r="24" customFormat="false" ht="15" hidden="false" customHeight="false" outlineLevel="0" collapsed="false">
      <c r="B24" s="7" t="s">
        <v>63</v>
      </c>
      <c r="C24" s="9" t="n">
        <f aca="false">Штат!C8*Штат!$A$8*Рычаги!$B$14</f>
        <v>12500</v>
      </c>
      <c r="D24" s="9" t="n">
        <f aca="false">Штат!D8*Штат!$A$8*Рычаги!$B$14</f>
        <v>12500</v>
      </c>
      <c r="E24" s="9" t="n">
        <f aca="false">Штат!E8*Штат!$A$8*Рычаги!$B$14</f>
        <v>12500</v>
      </c>
      <c r="F24" s="9" t="n">
        <f aca="false">Штат!F8*Штат!$A$8*Рычаги!$B$14</f>
        <v>12500</v>
      </c>
      <c r="G24" s="9" t="n">
        <f aca="false">Штат!G8*Штат!$A$8*Рычаги!$B$14</f>
        <v>12500</v>
      </c>
      <c r="H24" s="9" t="n">
        <f aca="false">Штат!H8*Штат!$A$8*Рычаги!$B$14</f>
        <v>12500</v>
      </c>
      <c r="I24" s="9" t="n">
        <f aca="false">Штат!I8*Штат!$A$8*Рычаги!$B$14</f>
        <v>12500</v>
      </c>
      <c r="J24" s="9" t="n">
        <f aca="false">Штат!J8*Штат!$A$8*Рычаги!$B$14</f>
        <v>12500</v>
      </c>
      <c r="K24" s="9" t="n">
        <f aca="false">Штат!K8*Штат!$A$8*Рычаги!$B$14</f>
        <v>12500</v>
      </c>
      <c r="L24" s="9" t="n">
        <f aca="false">Штат!L8*Штат!$A$8*Рычаги!$B$14</f>
        <v>12500</v>
      </c>
      <c r="M24" s="9" t="n">
        <f aca="false">Штат!M8*Штат!$A$8*Рычаги!$B$14</f>
        <v>12500</v>
      </c>
      <c r="N24" s="9" t="n">
        <f aca="false">Штат!N8*Штат!$A$8*Рычаги!$B$14</f>
        <v>12500</v>
      </c>
      <c r="O24" s="9" t="n">
        <f aca="false">Штат!O8*Штат!$A$8*Рычаги!$B$14</f>
        <v>12500</v>
      </c>
      <c r="P24" s="9" t="n">
        <f aca="false">Штат!P8*Штат!$A$8*Рычаги!$B$14</f>
        <v>12500</v>
      </c>
      <c r="Q24" s="9" t="n">
        <f aca="false">Штат!Q8*Штат!$A$8*Рычаги!$B$14</f>
        <v>12500</v>
      </c>
      <c r="R24" s="9" t="n">
        <f aca="false">Штат!R8*Штат!$A$8*Рычаги!$B$14</f>
        <v>12500</v>
      </c>
      <c r="S24" s="9" t="n">
        <f aca="false">Штат!S8*Штат!$A$8*Рычаги!$B$14</f>
        <v>12500</v>
      </c>
      <c r="T24" s="9" t="n">
        <f aca="false">Штат!T8*Штат!$A$8*Рычаги!$B$14</f>
        <v>12500</v>
      </c>
      <c r="U24" s="9" t="n">
        <f aca="false">Штат!U8*Штат!$A$8*Рычаги!$B$14</f>
        <v>12500</v>
      </c>
      <c r="V24" s="9" t="n">
        <f aca="false">Штат!V8*Штат!$A$8*Рычаги!$B$14</f>
        <v>12500</v>
      </c>
      <c r="W24" s="9" t="n">
        <f aca="false">Штат!W8*Штат!$A$8*Рычаги!$B$14</f>
        <v>12500</v>
      </c>
      <c r="X24" s="9" t="n">
        <f aca="false">Штат!X8*Штат!$A$8*Рычаги!$B$14</f>
        <v>12500</v>
      </c>
      <c r="Y24" s="9" t="n">
        <f aca="false">Штат!Y8*Штат!$A$8*Рычаги!$B$14</f>
        <v>12500</v>
      </c>
      <c r="Z24" s="9" t="n">
        <f aca="false">Штат!Z8*Штат!$A$8*Рычаги!$B$14</f>
        <v>12500</v>
      </c>
      <c r="AA24" s="9" t="n">
        <f aca="false">Штат!AA8*Штат!$A$8*Рычаги!$B$14</f>
        <v>12500</v>
      </c>
      <c r="AB24" s="9" t="n">
        <f aca="false">Штат!AB8*Штат!$A$8*Рычаги!$B$14</f>
        <v>12500</v>
      </c>
      <c r="AC24" s="9" t="n">
        <f aca="false">Штат!AC8*Штат!$A$8*Рычаги!$B$14</f>
        <v>12500</v>
      </c>
      <c r="AD24" s="9" t="n">
        <f aca="false">Штат!AD8*Штат!$A$8*Рычаги!$B$14</f>
        <v>12500</v>
      </c>
      <c r="AE24" s="9" t="n">
        <f aca="false">Штат!AE8*Штат!$A$8*Рычаги!$B$14</f>
        <v>12500</v>
      </c>
      <c r="AF24" s="9" t="n">
        <f aca="false">Штат!AF8*Штат!$A$8*Рычаги!$B$14</f>
        <v>12500</v>
      </c>
      <c r="AG24" s="9" t="n">
        <f aca="false">Штат!AG8*Штат!$A$8*Рычаги!$B$14</f>
        <v>12500</v>
      </c>
      <c r="AH24" s="9" t="n">
        <f aca="false">Штат!AH8*Штат!$A$8*Рычаги!$B$14</f>
        <v>12500</v>
      </c>
      <c r="AI24" s="9" t="n">
        <f aca="false">Штат!AI8*Штат!$A$8*Рычаги!$B$14</f>
        <v>12500</v>
      </c>
      <c r="AJ24" s="9" t="n">
        <f aca="false">Штат!AJ8*Штат!$A$8*Рычаги!$B$14</f>
        <v>12500</v>
      </c>
      <c r="AK24" s="9" t="n">
        <f aca="false">Штат!AK8*Штат!$A$8*Рычаги!$B$14</f>
        <v>12500</v>
      </c>
      <c r="AL24" s="9" t="n">
        <f aca="false">Штат!AL8*Штат!$A$8*Рычаги!$B$14</f>
        <v>12500</v>
      </c>
      <c r="AM24" s="9" t="n">
        <f aca="false">SUM(C24:AL24)</f>
        <v>450000</v>
      </c>
    </row>
    <row r="25" customFormat="false" ht="15" hidden="false" customHeight="false" outlineLevel="0" collapsed="false">
      <c r="B25" s="7" t="s">
        <v>64</v>
      </c>
      <c r="C25" s="9" t="n">
        <f aca="false">Штат!C9*Штат!$A$9*Рычаги!$B$14</f>
        <v>0</v>
      </c>
      <c r="D25" s="9" t="n">
        <f aca="false">Штат!D9*Штат!$A$9*Рычаги!$B$14</f>
        <v>12500</v>
      </c>
      <c r="E25" s="9" t="n">
        <f aca="false">Штат!E9*Штат!$A$9*Рычаги!$B$14</f>
        <v>12500</v>
      </c>
      <c r="F25" s="9" t="n">
        <f aca="false">Штат!F9*Штат!$A$9*Рычаги!$B$14</f>
        <v>12500</v>
      </c>
      <c r="G25" s="9" t="n">
        <f aca="false">Штат!G9*Штат!$A$9*Рычаги!$B$14</f>
        <v>12500</v>
      </c>
      <c r="H25" s="9" t="n">
        <f aca="false">Штат!H9*Штат!$A$9*Рычаги!$B$14</f>
        <v>12500</v>
      </c>
      <c r="I25" s="9" t="n">
        <f aca="false">Штат!I9*Штат!$A$9*Рычаги!$B$14</f>
        <v>12500</v>
      </c>
      <c r="J25" s="9" t="n">
        <f aca="false">Штат!J9*Штат!$A$9*Рычаги!$B$14</f>
        <v>12500</v>
      </c>
      <c r="K25" s="9" t="n">
        <f aca="false">Штат!K9*Штат!$A$9*Рычаги!$B$14</f>
        <v>12500</v>
      </c>
      <c r="L25" s="9" t="n">
        <f aca="false">Штат!L9*Штат!$A$9*Рычаги!$B$14</f>
        <v>12500</v>
      </c>
      <c r="M25" s="9" t="n">
        <f aca="false">Штат!M9*Штат!$A$9*Рычаги!$B$14</f>
        <v>12500</v>
      </c>
      <c r="N25" s="9" t="n">
        <f aca="false">Штат!N9*Штат!$A$9*Рычаги!$B$14</f>
        <v>12500</v>
      </c>
      <c r="O25" s="9" t="n">
        <f aca="false">Штат!O9*Штат!$A$9*Рычаги!$B$14</f>
        <v>12500</v>
      </c>
      <c r="P25" s="9" t="n">
        <f aca="false">Штат!P9*Штат!$A$9*Рычаги!$B$14</f>
        <v>12500</v>
      </c>
      <c r="Q25" s="9" t="n">
        <f aca="false">Штат!Q9*Штат!$A$9*Рычаги!$B$14</f>
        <v>12500</v>
      </c>
      <c r="R25" s="9" t="n">
        <f aca="false">Штат!R9*Штат!$A$9*Рычаги!$B$14</f>
        <v>12500</v>
      </c>
      <c r="S25" s="9" t="n">
        <f aca="false">Штат!S9*Штат!$A$9*Рычаги!$B$14</f>
        <v>12500</v>
      </c>
      <c r="T25" s="9" t="n">
        <f aca="false">Штат!T9*Штат!$A$9*Рычаги!$B$14</f>
        <v>12500</v>
      </c>
      <c r="U25" s="9" t="n">
        <f aca="false">Штат!U9*Штат!$A$9*Рычаги!$B$14</f>
        <v>12500</v>
      </c>
      <c r="V25" s="9" t="n">
        <f aca="false">Штат!V9*Штат!$A$9*Рычаги!$B$14</f>
        <v>12500</v>
      </c>
      <c r="W25" s="9" t="n">
        <f aca="false">Штат!W9*Штат!$A$9*Рычаги!$B$14</f>
        <v>12500</v>
      </c>
      <c r="X25" s="9" t="n">
        <f aca="false">Штат!X9*Штат!$A$9*Рычаги!$B$14</f>
        <v>12500</v>
      </c>
      <c r="Y25" s="9" t="n">
        <f aca="false">Штат!Y9*Штат!$A$9*Рычаги!$B$14</f>
        <v>12500</v>
      </c>
      <c r="Z25" s="9" t="n">
        <f aca="false">Штат!Z9*Штат!$A$9*Рычаги!$B$14</f>
        <v>12500</v>
      </c>
      <c r="AA25" s="9" t="n">
        <f aca="false">Штат!AA9*Штат!$A$9*Рычаги!$B$14</f>
        <v>12500</v>
      </c>
      <c r="AB25" s="9" t="n">
        <f aca="false">Штат!AB9*Штат!$A$9*Рычаги!$B$14</f>
        <v>12500</v>
      </c>
      <c r="AC25" s="9" t="n">
        <f aca="false">Штат!AC9*Штат!$A$9*Рычаги!$B$14</f>
        <v>12500</v>
      </c>
      <c r="AD25" s="9" t="n">
        <f aca="false">Штат!AD9*Штат!$A$9*Рычаги!$B$14</f>
        <v>12500</v>
      </c>
      <c r="AE25" s="9" t="n">
        <f aca="false">Штат!AE9*Штат!$A$9*Рычаги!$B$14</f>
        <v>12500</v>
      </c>
      <c r="AF25" s="9" t="n">
        <f aca="false">Штат!AF9*Штат!$A$9*Рычаги!$B$14</f>
        <v>12500</v>
      </c>
      <c r="AG25" s="9" t="n">
        <f aca="false">Штат!AG9*Штат!$A$9*Рычаги!$B$14</f>
        <v>12500</v>
      </c>
      <c r="AH25" s="9" t="n">
        <f aca="false">Штат!AH9*Штат!$A$9*Рычаги!$B$14</f>
        <v>12500</v>
      </c>
      <c r="AI25" s="9" t="n">
        <f aca="false">Штат!AI9*Штат!$A$9*Рычаги!$B$14</f>
        <v>12500</v>
      </c>
      <c r="AJ25" s="9" t="n">
        <f aca="false">Штат!AJ9*Штат!$A$9*Рычаги!$B$14</f>
        <v>12500</v>
      </c>
      <c r="AK25" s="9" t="n">
        <f aca="false">Штат!AK9*Штат!$A$9*Рычаги!$B$14</f>
        <v>12500</v>
      </c>
      <c r="AL25" s="9" t="n">
        <f aca="false">Штат!AL9*Штат!$A$9*Рычаги!$B$14</f>
        <v>12500</v>
      </c>
      <c r="AM25" s="9" t="n">
        <f aca="false">SUM(C25:AL25)</f>
        <v>437500</v>
      </c>
    </row>
    <row r="26" customFormat="false" ht="15" hidden="false" customHeight="false" outlineLevel="0" collapsed="false">
      <c r="B26" s="7" t="s">
        <v>65</v>
      </c>
      <c r="C26" s="9" t="n">
        <f aca="false">Штат!C10*Штат!$A$10*Рычаги!$B$14</f>
        <v>0</v>
      </c>
      <c r="D26" s="9" t="n">
        <f aca="false">Штат!D10*Штат!$A$10*Рычаги!$B$14</f>
        <v>12500</v>
      </c>
      <c r="E26" s="9" t="n">
        <f aca="false">Штат!E10*Штат!$A$10*Рычаги!$B$14</f>
        <v>12500</v>
      </c>
      <c r="F26" s="9" t="n">
        <f aca="false">Штат!F10*Штат!$A$10*Рычаги!$B$14</f>
        <v>12500</v>
      </c>
      <c r="G26" s="9" t="n">
        <f aca="false">Штат!G10*Штат!$A$10*Рычаги!$B$14</f>
        <v>12500</v>
      </c>
      <c r="H26" s="9" t="n">
        <f aca="false">Штат!H10*Штат!$A$10*Рычаги!$B$14</f>
        <v>12500</v>
      </c>
      <c r="I26" s="9" t="n">
        <f aca="false">Штат!I10*Штат!$A$10*Рычаги!$B$14</f>
        <v>12500</v>
      </c>
      <c r="J26" s="9" t="n">
        <f aca="false">Штат!J10*Штат!$A$10*Рычаги!$B$14</f>
        <v>12500</v>
      </c>
      <c r="K26" s="9" t="n">
        <f aca="false">Штат!K10*Штат!$A$10*Рычаги!$B$14</f>
        <v>12500</v>
      </c>
      <c r="L26" s="9" t="n">
        <f aca="false">Штат!L10*Штат!$A$10*Рычаги!$B$14</f>
        <v>12500</v>
      </c>
      <c r="M26" s="9" t="n">
        <f aca="false">Штат!M10*Штат!$A$10*Рычаги!$B$14</f>
        <v>12500</v>
      </c>
      <c r="N26" s="9" t="n">
        <f aca="false">Штат!N10*Штат!$A$10*Рычаги!$B$14</f>
        <v>12500</v>
      </c>
      <c r="O26" s="9" t="n">
        <f aca="false">Штат!O10*Штат!$A$10*Рычаги!$B$14</f>
        <v>12500</v>
      </c>
      <c r="P26" s="9" t="n">
        <f aca="false">Штат!P10*Штат!$A$10*Рычаги!$B$14</f>
        <v>12500</v>
      </c>
      <c r="Q26" s="9" t="n">
        <f aca="false">Штат!Q10*Штат!$A$10*Рычаги!$B$14</f>
        <v>12500</v>
      </c>
      <c r="R26" s="9" t="n">
        <f aca="false">Штат!R10*Штат!$A$10*Рычаги!$B$14</f>
        <v>12500</v>
      </c>
      <c r="S26" s="9" t="n">
        <f aca="false">Штат!S10*Штат!$A$10*Рычаги!$B$14</f>
        <v>12500</v>
      </c>
      <c r="T26" s="9" t="n">
        <f aca="false">Штат!T10*Штат!$A$10*Рычаги!$B$14</f>
        <v>12500</v>
      </c>
      <c r="U26" s="9" t="n">
        <f aca="false">Штат!U10*Штат!$A$10*Рычаги!$B$14</f>
        <v>12500</v>
      </c>
      <c r="V26" s="9" t="n">
        <f aca="false">Штат!V10*Штат!$A$10*Рычаги!$B$14</f>
        <v>12500</v>
      </c>
      <c r="W26" s="9" t="n">
        <f aca="false">Штат!W10*Штат!$A$10*Рычаги!$B$14</f>
        <v>12500</v>
      </c>
      <c r="X26" s="9" t="n">
        <f aca="false">Штат!X10*Штат!$A$10*Рычаги!$B$14</f>
        <v>12500</v>
      </c>
      <c r="Y26" s="9" t="n">
        <f aca="false">Штат!Y10*Штат!$A$10*Рычаги!$B$14</f>
        <v>12500</v>
      </c>
      <c r="Z26" s="9" t="n">
        <f aca="false">Штат!Z10*Штат!$A$10*Рычаги!$B$14</f>
        <v>12500</v>
      </c>
      <c r="AA26" s="9" t="n">
        <f aca="false">Штат!AA10*Штат!$A$10*Рычаги!$B$14</f>
        <v>12500</v>
      </c>
      <c r="AB26" s="9" t="n">
        <f aca="false">Штат!AB10*Штат!$A$10*Рычаги!$B$14</f>
        <v>12500</v>
      </c>
      <c r="AC26" s="9" t="n">
        <f aca="false">Штат!AC10*Штат!$A$10*Рычаги!$B$14</f>
        <v>12500</v>
      </c>
      <c r="AD26" s="9" t="n">
        <f aca="false">Штат!AD10*Штат!$A$10*Рычаги!$B$14</f>
        <v>12500</v>
      </c>
      <c r="AE26" s="9" t="n">
        <f aca="false">Штат!AE10*Штат!$A$10*Рычаги!$B$14</f>
        <v>12500</v>
      </c>
      <c r="AF26" s="9" t="n">
        <f aca="false">Штат!AF10*Штат!$A$10*Рычаги!$B$14</f>
        <v>12500</v>
      </c>
      <c r="AG26" s="9" t="n">
        <f aca="false">Штат!AG10*Штат!$A$10*Рычаги!$B$14</f>
        <v>12500</v>
      </c>
      <c r="AH26" s="9" t="n">
        <f aca="false">Штат!AH10*Штат!$A$10*Рычаги!$B$14</f>
        <v>12500</v>
      </c>
      <c r="AI26" s="9" t="n">
        <f aca="false">Штат!AI10*Штат!$A$10*Рычаги!$B$14</f>
        <v>12500</v>
      </c>
      <c r="AJ26" s="9" t="n">
        <f aca="false">Штат!AJ10*Штат!$A$10*Рычаги!$B$14</f>
        <v>12500</v>
      </c>
      <c r="AK26" s="9" t="n">
        <f aca="false">Штат!AK10*Штат!$A$10*Рычаги!$B$14</f>
        <v>12500</v>
      </c>
      <c r="AL26" s="9" t="n">
        <f aca="false">Штат!AL10*Штат!$A$10*Рычаги!$B$14</f>
        <v>12500</v>
      </c>
      <c r="AM26" s="9" t="n">
        <f aca="false">SUM(C26:AL26)</f>
        <v>437500</v>
      </c>
    </row>
    <row r="27" customFormat="false" ht="15" hidden="false" customHeight="false" outlineLevel="0" collapsed="false">
      <c r="B27" s="7" t="s">
        <v>66</v>
      </c>
      <c r="C27" s="9" t="n">
        <f aca="false">Штат!C11*Штат!$A$11*Рычаги!$B$14</f>
        <v>0</v>
      </c>
      <c r="D27" s="9" t="n">
        <f aca="false">Штат!D11*Штат!$A$11*Рычаги!$B$14</f>
        <v>0</v>
      </c>
      <c r="E27" s="9" t="n">
        <f aca="false">Штат!E11*Штат!$A$11*Рычаги!$B$14</f>
        <v>12500</v>
      </c>
      <c r="F27" s="9" t="n">
        <f aca="false">Штат!F11*Штат!$A$11*Рычаги!$B$14</f>
        <v>12500</v>
      </c>
      <c r="G27" s="9" t="n">
        <f aca="false">Штат!G11*Штат!$A$11*Рычаги!$B$14</f>
        <v>12500</v>
      </c>
      <c r="H27" s="9" t="n">
        <f aca="false">Штат!H11*Штат!$A$11*Рычаги!$B$14</f>
        <v>12500</v>
      </c>
      <c r="I27" s="9" t="n">
        <f aca="false">Штат!I11*Штат!$A$11*Рычаги!$B$14</f>
        <v>12500</v>
      </c>
      <c r="J27" s="9" t="n">
        <f aca="false">Штат!J11*Штат!$A$11*Рычаги!$B$14</f>
        <v>12500</v>
      </c>
      <c r="K27" s="9" t="n">
        <f aca="false">Штат!K11*Штат!$A$11*Рычаги!$B$14</f>
        <v>12500</v>
      </c>
      <c r="L27" s="9" t="n">
        <f aca="false">Штат!L11*Штат!$A$11*Рычаги!$B$14</f>
        <v>12500</v>
      </c>
      <c r="M27" s="9" t="n">
        <f aca="false">Штат!M11*Штат!$A$11*Рычаги!$B$14</f>
        <v>12500</v>
      </c>
      <c r="N27" s="9" t="n">
        <f aca="false">Штат!N11*Штат!$A$11*Рычаги!$B$14</f>
        <v>12500</v>
      </c>
      <c r="O27" s="9" t="n">
        <f aca="false">Штат!O11*Штат!$A$11*Рычаги!$B$14</f>
        <v>12500</v>
      </c>
      <c r="P27" s="9" t="n">
        <f aca="false">Штат!P11*Штат!$A$11*Рычаги!$B$14</f>
        <v>12500</v>
      </c>
      <c r="Q27" s="9" t="n">
        <f aca="false">Штат!Q11*Штат!$A$11*Рычаги!$B$14</f>
        <v>12500</v>
      </c>
      <c r="R27" s="9" t="n">
        <f aca="false">Штат!R11*Штат!$A$11*Рычаги!$B$14</f>
        <v>12500</v>
      </c>
      <c r="S27" s="9" t="n">
        <f aca="false">Штат!S11*Штат!$A$11*Рычаги!$B$14</f>
        <v>12500</v>
      </c>
      <c r="T27" s="9" t="n">
        <f aca="false">Штат!T11*Штат!$A$11*Рычаги!$B$14</f>
        <v>12500</v>
      </c>
      <c r="U27" s="9" t="n">
        <f aca="false">Штат!U11*Штат!$A$11*Рычаги!$B$14</f>
        <v>12500</v>
      </c>
      <c r="V27" s="9" t="n">
        <f aca="false">Штат!V11*Штат!$A$11*Рычаги!$B$14</f>
        <v>12500</v>
      </c>
      <c r="W27" s="9" t="n">
        <f aca="false">Штат!W11*Штат!$A$11*Рычаги!$B$14</f>
        <v>12500</v>
      </c>
      <c r="X27" s="9" t="n">
        <f aca="false">Штат!X11*Штат!$A$11*Рычаги!$B$14</f>
        <v>12500</v>
      </c>
      <c r="Y27" s="9" t="n">
        <f aca="false">Штат!Y11*Штат!$A$11*Рычаги!$B$14</f>
        <v>12500</v>
      </c>
      <c r="Z27" s="9" t="n">
        <f aca="false">Штат!Z11*Штат!$A$11*Рычаги!$B$14</f>
        <v>12500</v>
      </c>
      <c r="AA27" s="9" t="n">
        <f aca="false">Штат!AA11*Штат!$A$11*Рычаги!$B$14</f>
        <v>12500</v>
      </c>
      <c r="AB27" s="9" t="n">
        <f aca="false">Штат!AB11*Штат!$A$11*Рычаги!$B$14</f>
        <v>12500</v>
      </c>
      <c r="AC27" s="9" t="n">
        <f aca="false">Штат!AC11*Штат!$A$11*Рычаги!$B$14</f>
        <v>12500</v>
      </c>
      <c r="AD27" s="9" t="n">
        <f aca="false">Штат!AD11*Штат!$A$11*Рычаги!$B$14</f>
        <v>12500</v>
      </c>
      <c r="AE27" s="9" t="n">
        <f aca="false">Штат!AE11*Штат!$A$11*Рычаги!$B$14</f>
        <v>12500</v>
      </c>
      <c r="AF27" s="9" t="n">
        <f aca="false">Штат!AF11*Штат!$A$11*Рычаги!$B$14</f>
        <v>12500</v>
      </c>
      <c r="AG27" s="9" t="n">
        <f aca="false">Штат!AG11*Штат!$A$11*Рычаги!$B$14</f>
        <v>12500</v>
      </c>
      <c r="AH27" s="9" t="n">
        <f aca="false">Штат!AH11*Штат!$A$11*Рычаги!$B$14</f>
        <v>12500</v>
      </c>
      <c r="AI27" s="9" t="n">
        <f aca="false">Штат!AI11*Штат!$A$11*Рычаги!$B$14</f>
        <v>12500</v>
      </c>
      <c r="AJ27" s="9" t="n">
        <f aca="false">Штат!AJ11*Штат!$A$11*Рычаги!$B$14</f>
        <v>12500</v>
      </c>
      <c r="AK27" s="9" t="n">
        <f aca="false">Штат!AK11*Штат!$A$11*Рычаги!$B$14</f>
        <v>12500</v>
      </c>
      <c r="AL27" s="9" t="n">
        <f aca="false">Штат!AL11*Штат!$A$11*Рычаги!$B$14</f>
        <v>12500</v>
      </c>
      <c r="AM27" s="9" t="n">
        <f aca="false">SUM(C27:AL27)</f>
        <v>425000</v>
      </c>
    </row>
    <row r="28" customFormat="false" ht="15" hidden="false" customHeight="false" outlineLevel="0" collapsed="false">
      <c r="B28" s="7" t="s">
        <v>67</v>
      </c>
      <c r="C28" s="9" t="n">
        <f aca="false">Штат!C13*Штат!$A$13*Рычаги!$B$14</f>
        <v>12000</v>
      </c>
      <c r="D28" s="9" t="n">
        <f aca="false">Штат!D13*Штат!$A$13*Рычаги!$B$14</f>
        <v>18000</v>
      </c>
      <c r="E28" s="9" t="n">
        <f aca="false">Штат!E13*Штат!$A$13*Рычаги!$B$14</f>
        <v>24000</v>
      </c>
      <c r="F28" s="9" t="n">
        <f aca="false">Штат!F13*Штат!$A$13*Рычаги!$B$14</f>
        <v>42000</v>
      </c>
      <c r="G28" s="9" t="n">
        <f aca="false">Штат!G13*Штат!$A$13*Рычаги!$B$14</f>
        <v>54000</v>
      </c>
      <c r="H28" s="9" t="n">
        <f aca="false">Штат!H13*Штат!$A$13*Рычаги!$B$14</f>
        <v>72000</v>
      </c>
      <c r="I28" s="9" t="n">
        <f aca="false">Штат!I13*Штат!$A$13*Рычаги!$B$14</f>
        <v>78000</v>
      </c>
      <c r="J28" s="9" t="n">
        <f aca="false">Штат!J13*Штат!$A$13*Рычаги!$B$14</f>
        <v>78000</v>
      </c>
      <c r="K28" s="9" t="n">
        <f aca="false">Штат!K13*Штат!$A$13*Рычаги!$B$14</f>
        <v>84000</v>
      </c>
      <c r="L28" s="9" t="n">
        <f aca="false">Штат!L13*Штат!$A$13*Рычаги!$B$14</f>
        <v>90000</v>
      </c>
      <c r="M28" s="9" t="n">
        <f aca="false">Штат!M13*Штат!$A$13*Рычаги!$B$14</f>
        <v>90000</v>
      </c>
      <c r="N28" s="9" t="n">
        <f aca="false">Штат!N13*Штат!$A$13*Рычаги!$B$14</f>
        <v>96000</v>
      </c>
      <c r="O28" s="9" t="n">
        <f aca="false">Штат!O13*Штат!$A$13*Рычаги!$B$14</f>
        <v>96000</v>
      </c>
      <c r="P28" s="9" t="n">
        <f aca="false">Штат!P13*Штат!$A$13*Рычаги!$B$14</f>
        <v>96000</v>
      </c>
      <c r="Q28" s="9" t="n">
        <f aca="false">Штат!Q13*Штат!$A$13*Рычаги!$B$14</f>
        <v>102000</v>
      </c>
      <c r="R28" s="9" t="n">
        <f aca="false">Штат!R13*Штат!$A$13*Рычаги!$B$14</f>
        <v>102000</v>
      </c>
      <c r="S28" s="9" t="n">
        <f aca="false">Штат!S13*Штат!$A$13*Рычаги!$B$14</f>
        <v>102000</v>
      </c>
      <c r="T28" s="9" t="n">
        <f aca="false">Штат!T13*Штат!$A$13*Рычаги!$B$14</f>
        <v>102000</v>
      </c>
      <c r="U28" s="9" t="n">
        <f aca="false">Штат!U13*Штат!$A$13*Рычаги!$B$14</f>
        <v>102000</v>
      </c>
      <c r="V28" s="9" t="n">
        <f aca="false">Штат!V13*Штат!$A$13*Рычаги!$B$14</f>
        <v>102000</v>
      </c>
      <c r="W28" s="9" t="n">
        <f aca="false">Штат!W13*Штат!$A$13*Рычаги!$B$14</f>
        <v>108000</v>
      </c>
      <c r="X28" s="9" t="n">
        <f aca="false">Штат!X13*Штат!$A$13*Рычаги!$B$14</f>
        <v>108000</v>
      </c>
      <c r="Y28" s="9" t="n">
        <f aca="false">Штат!Y13*Штат!$A$13*Рычаги!$B$14</f>
        <v>108000</v>
      </c>
      <c r="Z28" s="9" t="n">
        <f aca="false">Штат!Z13*Штат!$A$13*Рычаги!$B$14</f>
        <v>108000</v>
      </c>
      <c r="AA28" s="9" t="n">
        <f aca="false">Штат!AA13*Штат!$A$13*Рычаги!$B$14</f>
        <v>108000</v>
      </c>
      <c r="AB28" s="9" t="n">
        <f aca="false">Штат!AB13*Штат!$A$13*Рычаги!$B$14</f>
        <v>108000</v>
      </c>
      <c r="AC28" s="9" t="n">
        <f aca="false">Штат!AC13*Штат!$A$13*Рычаги!$B$14</f>
        <v>114000</v>
      </c>
      <c r="AD28" s="9" t="n">
        <f aca="false">Штат!AD13*Штат!$A$13*Рычаги!$B$14</f>
        <v>114000</v>
      </c>
      <c r="AE28" s="9" t="n">
        <f aca="false">Штат!AE13*Штат!$A$13*Рычаги!$B$14</f>
        <v>114000</v>
      </c>
      <c r="AF28" s="9" t="n">
        <f aca="false">Штат!AF13*Штат!$A$13*Рычаги!$B$14</f>
        <v>114000</v>
      </c>
      <c r="AG28" s="9" t="n">
        <f aca="false">Штат!AG13*Штат!$A$13*Рычаги!$B$14</f>
        <v>114000</v>
      </c>
      <c r="AH28" s="9" t="n">
        <f aca="false">Штат!AH13*Штат!$A$13*Рычаги!$B$14</f>
        <v>114000</v>
      </c>
      <c r="AI28" s="9" t="n">
        <f aca="false">Штат!AI13*Штат!$A$13*Рычаги!$B$14</f>
        <v>120000</v>
      </c>
      <c r="AJ28" s="9" t="n">
        <f aca="false">Штат!AJ13*Штат!$A$13*Рычаги!$B$14</f>
        <v>120000</v>
      </c>
      <c r="AK28" s="9" t="n">
        <f aca="false">Штат!AK13*Штат!$A$13*Рычаги!$B$14</f>
        <v>120000</v>
      </c>
      <c r="AL28" s="9" t="n">
        <f aca="false">Штат!AL13*Штат!$A$13*Рычаги!$B$14</f>
        <v>120000</v>
      </c>
      <c r="AM28" s="9" t="n">
        <f aca="false">SUM(C28:AL28)</f>
        <v>3354000</v>
      </c>
    </row>
    <row r="29" customFormat="false" ht="15" hidden="false" customHeight="false" outlineLevel="0" collapsed="false">
      <c r="B29" s="7" t="s">
        <v>68</v>
      </c>
      <c r="C29" s="9" t="n">
        <f aca="false">Штат!C14*Штат!$A$14*Рычаги!$B$14</f>
        <v>10000</v>
      </c>
      <c r="D29" s="9" t="n">
        <f aca="false">Штат!D14*Штат!$A$14*Рычаги!$B$14</f>
        <v>15000</v>
      </c>
      <c r="E29" s="9" t="n">
        <f aca="false">Штат!E14*Штат!$A$14*Рычаги!$B$14</f>
        <v>20000</v>
      </c>
      <c r="F29" s="9" t="n">
        <f aca="false">Штат!F14*Штат!$A$14*Рычаги!$B$14</f>
        <v>30000</v>
      </c>
      <c r="G29" s="9" t="n">
        <f aca="false">Штат!G14*Штат!$A$14*Рычаги!$B$14</f>
        <v>45000</v>
      </c>
      <c r="H29" s="9" t="n">
        <f aca="false">Штат!H14*Штат!$A$14*Рычаги!$B$14</f>
        <v>55000</v>
      </c>
      <c r="I29" s="9" t="n">
        <f aca="false">Штат!I14*Штат!$A$14*Рычаги!$B$14</f>
        <v>55000</v>
      </c>
      <c r="J29" s="9" t="n">
        <f aca="false">Штат!J14*Штат!$A$14*Рычаги!$B$14</f>
        <v>60000</v>
      </c>
      <c r="K29" s="9" t="n">
        <f aca="false">Штат!K14*Штат!$A$14*Рычаги!$B$14</f>
        <v>60000</v>
      </c>
      <c r="L29" s="9" t="n">
        <f aca="false">Штат!L14*Штат!$A$14*Рычаги!$B$14</f>
        <v>60000</v>
      </c>
      <c r="M29" s="9" t="n">
        <f aca="false">Штат!M14*Штат!$A$14*Рычаги!$B$14</f>
        <v>65000</v>
      </c>
      <c r="N29" s="9" t="n">
        <f aca="false">Штат!N14*Штат!$A$14*Рычаги!$B$14</f>
        <v>65000</v>
      </c>
      <c r="O29" s="9" t="n">
        <f aca="false">Штат!O14*Штат!$A$14*Рычаги!$B$14</f>
        <v>65000</v>
      </c>
      <c r="P29" s="9" t="n">
        <f aca="false">Штат!P14*Штат!$A$14*Рычаги!$B$14</f>
        <v>65000</v>
      </c>
      <c r="Q29" s="9" t="n">
        <f aca="false">Штат!Q14*Штат!$A$14*Рычаги!$B$14</f>
        <v>70000</v>
      </c>
      <c r="R29" s="9" t="n">
        <f aca="false">Штат!R14*Штат!$A$14*Рычаги!$B$14</f>
        <v>70000</v>
      </c>
      <c r="S29" s="9" t="n">
        <f aca="false">Штат!S14*Штат!$A$14*Рычаги!$B$14</f>
        <v>70000</v>
      </c>
      <c r="T29" s="9" t="n">
        <f aca="false">Штат!T14*Штат!$A$14*Рычаги!$B$14</f>
        <v>70000</v>
      </c>
      <c r="U29" s="9" t="n">
        <f aca="false">Штат!U14*Штат!$A$14*Рычаги!$B$14</f>
        <v>70000</v>
      </c>
      <c r="V29" s="9" t="n">
        <f aca="false">Штат!V14*Штат!$A$14*Рычаги!$B$14</f>
        <v>70000</v>
      </c>
      <c r="W29" s="9" t="n">
        <f aca="false">Штат!W14*Штат!$A$14*Рычаги!$B$14</f>
        <v>70000</v>
      </c>
      <c r="X29" s="9" t="n">
        <f aca="false">Штат!X14*Штат!$A$14*Рычаги!$B$14</f>
        <v>70000</v>
      </c>
      <c r="Y29" s="9" t="n">
        <f aca="false">Штат!Y14*Штат!$A$14*Рычаги!$B$14</f>
        <v>75000</v>
      </c>
      <c r="Z29" s="9" t="n">
        <f aca="false">Штат!Z14*Штат!$A$14*Рычаги!$B$14</f>
        <v>75000</v>
      </c>
      <c r="AA29" s="9" t="n">
        <f aca="false">Штат!AA14*Штат!$A$14*Рычаги!$B$14</f>
        <v>75000</v>
      </c>
      <c r="AB29" s="9" t="n">
        <f aca="false">Штат!AB14*Штат!$A$14*Рычаги!$B$14</f>
        <v>75000</v>
      </c>
      <c r="AC29" s="9" t="n">
        <f aca="false">Штат!AC14*Штат!$A$14*Рычаги!$B$14</f>
        <v>75000</v>
      </c>
      <c r="AD29" s="9" t="n">
        <f aca="false">Штат!AD14*Штат!$A$14*Рычаги!$B$14</f>
        <v>75000</v>
      </c>
      <c r="AE29" s="9" t="n">
        <f aca="false">Штат!AE14*Штат!$A$14*Рычаги!$B$14</f>
        <v>75000</v>
      </c>
      <c r="AF29" s="9" t="n">
        <f aca="false">Штат!AF14*Штат!$A$14*Рычаги!$B$14</f>
        <v>75000</v>
      </c>
      <c r="AG29" s="9" t="n">
        <f aca="false">Штат!AG14*Штат!$A$14*Рычаги!$B$14</f>
        <v>75000</v>
      </c>
      <c r="AH29" s="9" t="n">
        <f aca="false">Штат!AH14*Штат!$A$14*Рычаги!$B$14</f>
        <v>80000</v>
      </c>
      <c r="AI29" s="9" t="n">
        <f aca="false">Штат!AI14*Штат!$A$14*Рычаги!$B$14</f>
        <v>80000</v>
      </c>
      <c r="AJ29" s="9" t="n">
        <f aca="false">Штат!AJ14*Штат!$A$14*Рычаги!$B$14</f>
        <v>80000</v>
      </c>
      <c r="AK29" s="9" t="n">
        <f aca="false">Штат!AK14*Штат!$A$14*Рычаги!$B$14</f>
        <v>80000</v>
      </c>
      <c r="AL29" s="9" t="n">
        <f aca="false">Штат!AL14*Штат!$A$14*Рычаги!$B$14</f>
        <v>80000</v>
      </c>
      <c r="AM29" s="9" t="n">
        <f aca="false">SUM(C29:AL29)</f>
        <v>2305000</v>
      </c>
    </row>
    <row r="30" customFormat="false" ht="15" hidden="false" customHeight="false" outlineLevel="0" collapsed="false">
      <c r="B30" s="7" t="s">
        <v>69</v>
      </c>
      <c r="C30" s="9" t="n">
        <f aca="false">Штат!C15*Штат!$A$15*Рычаги!$B$14</f>
        <v>0</v>
      </c>
      <c r="D30" s="9" t="n">
        <f aca="false">Штат!D15*Штат!$A$15*Рычаги!$B$14</f>
        <v>4500</v>
      </c>
      <c r="E30" s="9" t="n">
        <f aca="false">Штат!E15*Штат!$A$15*Рычаги!$B$14</f>
        <v>9000</v>
      </c>
      <c r="F30" s="9" t="n">
        <f aca="false">Штат!F15*Штат!$A$15*Рычаги!$B$14</f>
        <v>13500</v>
      </c>
      <c r="G30" s="9" t="n">
        <f aca="false">Штат!G15*Штат!$A$15*Рычаги!$B$14</f>
        <v>22500</v>
      </c>
      <c r="H30" s="9" t="n">
        <f aca="false">Штат!H15*Штат!$A$15*Рычаги!$B$14</f>
        <v>27000</v>
      </c>
      <c r="I30" s="9" t="n">
        <f aca="false">Штат!I15*Штат!$A$15*Рычаги!$B$14</f>
        <v>27000</v>
      </c>
      <c r="J30" s="9" t="n">
        <f aca="false">Штат!J15*Штат!$A$15*Рычаги!$B$14</f>
        <v>27000</v>
      </c>
      <c r="K30" s="9" t="n">
        <f aca="false">Штат!K15*Штат!$A$15*Рычаги!$B$14</f>
        <v>31500</v>
      </c>
      <c r="L30" s="9" t="n">
        <f aca="false">Штат!L15*Штат!$A$15*Рычаги!$B$14</f>
        <v>31500</v>
      </c>
      <c r="M30" s="9" t="n">
        <f aca="false">Штат!M15*Штат!$A$15*Рычаги!$B$14</f>
        <v>31500</v>
      </c>
      <c r="N30" s="9" t="n">
        <f aca="false">Штат!N15*Штат!$A$15*Рычаги!$B$14</f>
        <v>31500</v>
      </c>
      <c r="O30" s="9" t="n">
        <f aca="false">Штат!O15*Штат!$A$15*Рычаги!$B$14</f>
        <v>31500</v>
      </c>
      <c r="P30" s="9" t="n">
        <f aca="false">Штат!P15*Штат!$A$15*Рычаги!$B$14</f>
        <v>31500</v>
      </c>
      <c r="Q30" s="9" t="n">
        <f aca="false">Штат!Q15*Штат!$A$15*Рычаги!$B$14</f>
        <v>31500</v>
      </c>
      <c r="R30" s="9" t="n">
        <f aca="false">Штат!R15*Штат!$A$15*Рычаги!$B$14</f>
        <v>31500</v>
      </c>
      <c r="S30" s="9" t="n">
        <f aca="false">Штат!S15*Штат!$A$15*Рычаги!$B$14</f>
        <v>31500</v>
      </c>
      <c r="T30" s="9" t="n">
        <f aca="false">Штат!T15*Штат!$A$15*Рычаги!$B$14</f>
        <v>31500</v>
      </c>
      <c r="U30" s="9" t="n">
        <f aca="false">Штат!U15*Штат!$A$15*Рычаги!$B$14</f>
        <v>31500</v>
      </c>
      <c r="V30" s="9" t="n">
        <f aca="false">Штат!V15*Штат!$A$15*Рычаги!$B$14</f>
        <v>31500</v>
      </c>
      <c r="W30" s="9" t="n">
        <f aca="false">Штат!W15*Штат!$A$15*Рычаги!$B$14</f>
        <v>31500</v>
      </c>
      <c r="X30" s="9" t="n">
        <f aca="false">Штат!X15*Штат!$A$15*Рычаги!$B$14</f>
        <v>31500</v>
      </c>
      <c r="Y30" s="9" t="n">
        <f aca="false">Штат!Y15*Штат!$A$15*Рычаги!$B$14</f>
        <v>31500</v>
      </c>
      <c r="Z30" s="9" t="n">
        <f aca="false">Штат!Z15*Штат!$A$15*Рычаги!$B$14</f>
        <v>31500</v>
      </c>
      <c r="AA30" s="9" t="n">
        <f aca="false">Штат!AA15*Штат!$A$15*Рычаги!$B$14</f>
        <v>31500</v>
      </c>
      <c r="AB30" s="9" t="n">
        <f aca="false">Штат!AB15*Штат!$A$15*Рычаги!$B$14</f>
        <v>31500</v>
      </c>
      <c r="AC30" s="9" t="n">
        <f aca="false">Штат!AC15*Штат!$A$15*Рычаги!$B$14</f>
        <v>36000</v>
      </c>
      <c r="AD30" s="9" t="n">
        <f aca="false">Штат!AD15*Штат!$A$15*Рычаги!$B$14</f>
        <v>36000</v>
      </c>
      <c r="AE30" s="9" t="n">
        <f aca="false">Штат!AE15*Штат!$A$15*Рычаги!$B$14</f>
        <v>36000</v>
      </c>
      <c r="AF30" s="9" t="n">
        <f aca="false">Штат!AF15*Штат!$A$15*Рычаги!$B$14</f>
        <v>36000</v>
      </c>
      <c r="AG30" s="9" t="n">
        <f aca="false">Штат!AG15*Штат!$A$15*Рычаги!$B$14</f>
        <v>36000</v>
      </c>
      <c r="AH30" s="9" t="n">
        <f aca="false">Штат!AH15*Штат!$A$15*Рычаги!$B$14</f>
        <v>36000</v>
      </c>
      <c r="AI30" s="9" t="n">
        <f aca="false">Штат!AI15*Штат!$A$15*Рычаги!$B$14</f>
        <v>36000</v>
      </c>
      <c r="AJ30" s="9" t="n">
        <f aca="false">Штат!AJ15*Штат!$A$15*Рычаги!$B$14</f>
        <v>36000</v>
      </c>
      <c r="AK30" s="9" t="n">
        <f aca="false">Штат!AK15*Штат!$A$15*Рычаги!$B$14</f>
        <v>36000</v>
      </c>
      <c r="AL30" s="9" t="n">
        <f aca="false">Штат!AL15*Штат!$A$15*Рычаги!$B$14</f>
        <v>36000</v>
      </c>
      <c r="AM30" s="9" t="n">
        <f aca="false">SUM(C30:AL30)</f>
        <v>1057500</v>
      </c>
    </row>
    <row r="31" customFormat="false" ht="15" hidden="false" customHeight="false" outlineLevel="0" collapsed="false">
      <c r="B31" s="7" t="s">
        <v>70</v>
      </c>
      <c r="C31" s="9" t="n">
        <f aca="false">Штат!C16*Штат!$A$16*Рычаги!$B$14</f>
        <v>0</v>
      </c>
      <c r="D31" s="9" t="n">
        <f aca="false">Штат!D16*Штат!$A$16*Рычаги!$B$14</f>
        <v>0</v>
      </c>
      <c r="E31" s="9" t="n">
        <f aca="false">Штат!E16*Штат!$A$16*Рычаги!$B$14</f>
        <v>5000</v>
      </c>
      <c r="F31" s="9" t="n">
        <f aca="false">Штат!F16*Штат!$A$16*Рычаги!$B$14</f>
        <v>10000</v>
      </c>
      <c r="G31" s="9" t="n">
        <f aca="false">Штат!G16*Штат!$A$16*Рычаги!$B$14</f>
        <v>15000</v>
      </c>
      <c r="H31" s="9" t="n">
        <f aca="false">Штат!H16*Штат!$A$16*Рычаги!$B$14</f>
        <v>20000</v>
      </c>
      <c r="I31" s="9" t="n">
        <f aca="false">Штат!I16*Штат!$A$16*Рычаги!$B$14</f>
        <v>20000</v>
      </c>
      <c r="J31" s="9" t="n">
        <f aca="false">Штат!J16*Штат!$A$16*Рычаги!$B$14</f>
        <v>25000</v>
      </c>
      <c r="K31" s="9" t="n">
        <f aca="false">Штат!K16*Штат!$A$16*Рычаги!$B$14</f>
        <v>25000</v>
      </c>
      <c r="L31" s="9" t="n">
        <f aca="false">Штат!L16*Штат!$A$16*Рычаги!$B$14</f>
        <v>25000</v>
      </c>
      <c r="M31" s="9" t="n">
        <f aca="false">Штат!M16*Штат!$A$16*Рычаги!$B$14</f>
        <v>30000</v>
      </c>
      <c r="N31" s="9" t="n">
        <f aca="false">Штат!N16*Штат!$A$16*Рычаги!$B$14</f>
        <v>30000</v>
      </c>
      <c r="O31" s="9" t="n">
        <f aca="false">Штат!O16*Штат!$A$16*Рычаги!$B$14</f>
        <v>30000</v>
      </c>
      <c r="P31" s="9" t="n">
        <f aca="false">Штат!P16*Штат!$A$16*Рычаги!$B$14</f>
        <v>30000</v>
      </c>
      <c r="Q31" s="9" t="n">
        <f aca="false">Штат!Q16*Штат!$A$16*Рычаги!$B$14</f>
        <v>35000</v>
      </c>
      <c r="R31" s="9" t="n">
        <f aca="false">Штат!R16*Штат!$A$16*Рычаги!$B$14</f>
        <v>35000</v>
      </c>
      <c r="S31" s="9" t="n">
        <f aca="false">Штат!S16*Штат!$A$16*Рычаги!$B$14</f>
        <v>35000</v>
      </c>
      <c r="T31" s="9" t="n">
        <f aca="false">Штат!T16*Штат!$A$16*Рычаги!$B$14</f>
        <v>35000</v>
      </c>
      <c r="U31" s="9" t="n">
        <f aca="false">Штат!U16*Штат!$A$16*Рычаги!$B$14</f>
        <v>35000</v>
      </c>
      <c r="V31" s="9" t="n">
        <f aca="false">Штат!V16*Штат!$A$16*Рычаги!$B$14</f>
        <v>35000</v>
      </c>
      <c r="W31" s="9" t="n">
        <f aca="false">Штат!W16*Штат!$A$16*Рычаги!$B$14</f>
        <v>40000</v>
      </c>
      <c r="X31" s="9" t="n">
        <f aca="false">Штат!X16*Штат!$A$16*Рычаги!$B$14</f>
        <v>40000</v>
      </c>
      <c r="Y31" s="9" t="n">
        <f aca="false">Штат!Y16*Штат!$A$16*Рычаги!$B$14</f>
        <v>40000</v>
      </c>
      <c r="Z31" s="9" t="n">
        <f aca="false">Штат!Z16*Штат!$A$16*Рычаги!$B$14</f>
        <v>40000</v>
      </c>
      <c r="AA31" s="9" t="n">
        <f aca="false">Штат!AA16*Штат!$A$16*Рычаги!$B$14</f>
        <v>40000</v>
      </c>
      <c r="AB31" s="9" t="n">
        <f aca="false">Штат!AB16*Штат!$A$16*Рычаги!$B$14</f>
        <v>40000</v>
      </c>
      <c r="AC31" s="9" t="n">
        <f aca="false">Штат!AC16*Штат!$A$16*Рычаги!$B$14</f>
        <v>45000</v>
      </c>
      <c r="AD31" s="9" t="n">
        <f aca="false">Штат!AD16*Штат!$A$16*Рычаги!$B$14</f>
        <v>45000</v>
      </c>
      <c r="AE31" s="9" t="n">
        <f aca="false">Штат!AE16*Штат!$A$16*Рычаги!$B$14</f>
        <v>45000</v>
      </c>
      <c r="AF31" s="9" t="n">
        <f aca="false">Штат!AF16*Штат!$A$16*Рычаги!$B$14</f>
        <v>45000</v>
      </c>
      <c r="AG31" s="9" t="n">
        <f aca="false">Штат!AG16*Штат!$A$16*Рычаги!$B$14</f>
        <v>45000</v>
      </c>
      <c r="AH31" s="9" t="n">
        <f aca="false">Штат!AH16*Штат!$A$16*Рычаги!$B$14</f>
        <v>45000</v>
      </c>
      <c r="AI31" s="9" t="n">
        <f aca="false">Штат!AI16*Штат!$A$16*Рычаги!$B$14</f>
        <v>50000</v>
      </c>
      <c r="AJ31" s="9" t="n">
        <f aca="false">Штат!AJ16*Штат!$A$16*Рычаги!$B$14</f>
        <v>50000</v>
      </c>
      <c r="AK31" s="9" t="n">
        <f aca="false">Штат!AK16*Штат!$A$16*Рычаги!$B$14</f>
        <v>50000</v>
      </c>
      <c r="AL31" s="9" t="n">
        <f aca="false">Штат!AL16*Штат!$A$16*Рычаги!$B$14</f>
        <v>50000</v>
      </c>
      <c r="AM31" s="9" t="n">
        <f aca="false">SUM(C31:AL31)</f>
        <v>1185000</v>
      </c>
    </row>
    <row r="32" customFormat="false" ht="15" hidden="false" customHeight="false" outlineLevel="0" collapsed="false">
      <c r="B32" s="7" t="s">
        <v>71</v>
      </c>
      <c r="C32" s="9" t="n">
        <f aca="false">Штат!C17*Штат!$A$17*Рычаги!$B$14</f>
        <v>0</v>
      </c>
      <c r="D32" s="9" t="n">
        <f aca="false">Штат!D17*Штат!$A$17*Рычаги!$B$14</f>
        <v>5500</v>
      </c>
      <c r="E32" s="9" t="n">
        <f aca="false">Штат!E17*Штат!$A$17*Рычаги!$B$14</f>
        <v>11000</v>
      </c>
      <c r="F32" s="9" t="n">
        <f aca="false">Штат!F17*Штат!$A$17*Рычаги!$B$14</f>
        <v>11000</v>
      </c>
      <c r="G32" s="9" t="n">
        <f aca="false">Штат!G17*Штат!$A$17*Рычаги!$B$14</f>
        <v>16500</v>
      </c>
      <c r="H32" s="9" t="n">
        <f aca="false">Штат!H17*Штат!$A$17*Рычаги!$B$14</f>
        <v>16500</v>
      </c>
      <c r="I32" s="9" t="n">
        <f aca="false">Штат!I17*Штат!$A$17*Рычаги!$B$14</f>
        <v>16500</v>
      </c>
      <c r="J32" s="9" t="n">
        <f aca="false">Штат!J17*Штат!$A$17*Рычаги!$B$14</f>
        <v>16500</v>
      </c>
      <c r="K32" s="9" t="n">
        <f aca="false">Штат!K17*Штат!$A$17*Рычаги!$B$14</f>
        <v>22000</v>
      </c>
      <c r="L32" s="9" t="n">
        <f aca="false">Штат!L17*Штат!$A$17*Рычаги!$B$14</f>
        <v>22000</v>
      </c>
      <c r="M32" s="9" t="n">
        <f aca="false">Штат!M17*Штат!$A$17*Рычаги!$B$14</f>
        <v>22000</v>
      </c>
      <c r="N32" s="9" t="n">
        <f aca="false">Штат!N17*Штат!$A$17*Рычаги!$B$14</f>
        <v>22000</v>
      </c>
      <c r="O32" s="9" t="n">
        <f aca="false">Штат!O17*Штат!$A$17*Рычаги!$B$14</f>
        <v>22000</v>
      </c>
      <c r="P32" s="9" t="n">
        <f aca="false">Штат!P17*Штат!$A$17*Рычаги!$B$14</f>
        <v>22000</v>
      </c>
      <c r="Q32" s="9" t="n">
        <f aca="false">Штат!Q17*Штат!$A$17*Рычаги!$B$14</f>
        <v>22000</v>
      </c>
      <c r="R32" s="9" t="n">
        <f aca="false">Штат!R17*Штат!$A$17*Рычаги!$B$14</f>
        <v>22000</v>
      </c>
      <c r="S32" s="9" t="n">
        <f aca="false">Штат!S17*Штат!$A$17*Рычаги!$B$14</f>
        <v>22000</v>
      </c>
      <c r="T32" s="9" t="n">
        <f aca="false">Штат!T17*Штат!$A$17*Рычаги!$B$14</f>
        <v>22000</v>
      </c>
      <c r="U32" s="9" t="n">
        <f aca="false">Штат!U17*Штат!$A$17*Рычаги!$B$14</f>
        <v>22000</v>
      </c>
      <c r="V32" s="9" t="n">
        <f aca="false">Штат!V17*Штат!$A$17*Рычаги!$B$14</f>
        <v>22000</v>
      </c>
      <c r="W32" s="9" t="n">
        <f aca="false">Штат!W17*Штат!$A$17*Рычаги!$B$14</f>
        <v>22000</v>
      </c>
      <c r="X32" s="9" t="n">
        <f aca="false">Штат!X17*Штат!$A$17*Рычаги!$B$14</f>
        <v>22000</v>
      </c>
      <c r="Y32" s="9" t="n">
        <f aca="false">Штат!Y17*Штат!$A$17*Рычаги!$B$14</f>
        <v>22000</v>
      </c>
      <c r="Z32" s="9" t="n">
        <f aca="false">Штат!Z17*Штат!$A$17*Рычаги!$B$14</f>
        <v>22000</v>
      </c>
      <c r="AA32" s="9" t="n">
        <f aca="false">Штат!AA17*Штат!$A$17*Рычаги!$B$14</f>
        <v>22000</v>
      </c>
      <c r="AB32" s="9" t="n">
        <f aca="false">Штат!AB17*Штат!$A$17*Рычаги!$B$14</f>
        <v>22000</v>
      </c>
      <c r="AC32" s="9" t="n">
        <f aca="false">Штат!AC17*Штат!$A$17*Рычаги!$B$14</f>
        <v>27500</v>
      </c>
      <c r="AD32" s="9" t="n">
        <f aca="false">Штат!AD17*Штат!$A$17*Рычаги!$B$14</f>
        <v>27500</v>
      </c>
      <c r="AE32" s="9" t="n">
        <f aca="false">Штат!AE17*Штат!$A$17*Рычаги!$B$14</f>
        <v>27500</v>
      </c>
      <c r="AF32" s="9" t="n">
        <f aca="false">Штат!AF17*Штат!$A$17*Рычаги!$B$14</f>
        <v>27500</v>
      </c>
      <c r="AG32" s="9" t="n">
        <f aca="false">Штат!AG17*Штат!$A$17*Рычаги!$B$14</f>
        <v>27500</v>
      </c>
      <c r="AH32" s="9" t="n">
        <f aca="false">Штат!AH17*Штат!$A$17*Рычаги!$B$14</f>
        <v>27500</v>
      </c>
      <c r="AI32" s="9" t="n">
        <f aca="false">Штат!AI17*Штат!$A$17*Рычаги!$B$14</f>
        <v>27500</v>
      </c>
      <c r="AJ32" s="9" t="n">
        <f aca="false">Штат!AJ17*Штат!$A$17*Рычаги!$B$14</f>
        <v>27500</v>
      </c>
      <c r="AK32" s="9" t="n">
        <f aca="false">Штат!AK17*Штат!$A$17*Рычаги!$B$14</f>
        <v>27500</v>
      </c>
      <c r="AL32" s="9" t="n">
        <f aca="false">Штат!AL17*Штат!$A$17*Рычаги!$B$14</f>
        <v>27500</v>
      </c>
      <c r="AM32" s="9" t="n">
        <f aca="false">SUM(C32:AL32)</f>
        <v>764500</v>
      </c>
    </row>
    <row r="33" customFormat="false" ht="15" hidden="false" customHeight="false" outlineLevel="0" collapsed="false">
      <c r="B33" s="7" t="s">
        <v>72</v>
      </c>
      <c r="C33" s="9" t="n">
        <f aca="false">Штат!C18*Штат!$A$18*Рычаги!$B$14</f>
        <v>0</v>
      </c>
      <c r="D33" s="9" t="n">
        <f aca="false">Штат!D18*Штат!$A$18*Рычаги!$B$14</f>
        <v>0</v>
      </c>
      <c r="E33" s="9" t="n">
        <f aca="false">Штат!E18*Штат!$A$18*Рычаги!$B$14</f>
        <v>2500</v>
      </c>
      <c r="F33" s="9" t="n">
        <f aca="false">Штат!F18*Штат!$A$18*Рычаги!$B$14</f>
        <v>5000</v>
      </c>
      <c r="G33" s="9" t="n">
        <f aca="false">Штат!G18*Штат!$A$18*Рычаги!$B$14</f>
        <v>5000</v>
      </c>
      <c r="H33" s="9" t="n">
        <f aca="false">Штат!H18*Штат!$A$18*Рычаги!$B$14</f>
        <v>7500</v>
      </c>
      <c r="I33" s="9" t="n">
        <f aca="false">Штат!I18*Штат!$A$18*Рычаги!$B$14</f>
        <v>7500</v>
      </c>
      <c r="J33" s="9" t="n">
        <f aca="false">Штат!J18*Штат!$A$18*Рычаги!$B$14</f>
        <v>7500</v>
      </c>
      <c r="K33" s="9" t="n">
        <f aca="false">Штат!K18*Штат!$A$18*Рычаги!$B$14</f>
        <v>10000</v>
      </c>
      <c r="L33" s="9" t="n">
        <f aca="false">Штат!L18*Штат!$A$18*Рычаги!$B$14</f>
        <v>10000</v>
      </c>
      <c r="M33" s="9" t="n">
        <f aca="false">Штат!M18*Штат!$A$18*Рычаги!$B$14</f>
        <v>10000</v>
      </c>
      <c r="N33" s="9" t="n">
        <f aca="false">Штат!N18*Штат!$A$18*Рычаги!$B$14</f>
        <v>10000</v>
      </c>
      <c r="O33" s="9" t="n">
        <f aca="false">Штат!O18*Штат!$A$18*Рычаги!$B$14</f>
        <v>10000</v>
      </c>
      <c r="P33" s="9" t="n">
        <f aca="false">Штат!P18*Штат!$A$18*Рычаги!$B$14</f>
        <v>10000</v>
      </c>
      <c r="Q33" s="9" t="n">
        <f aca="false">Штат!Q18*Штат!$A$18*Рычаги!$B$14</f>
        <v>12500</v>
      </c>
      <c r="R33" s="9" t="n">
        <f aca="false">Штат!R18*Штат!$A$18*Рычаги!$B$14</f>
        <v>12500</v>
      </c>
      <c r="S33" s="9" t="n">
        <f aca="false">Штат!S18*Штат!$A$18*Рычаги!$B$14</f>
        <v>12500</v>
      </c>
      <c r="T33" s="9" t="n">
        <f aca="false">Штат!T18*Штат!$A$18*Рычаги!$B$14</f>
        <v>12500</v>
      </c>
      <c r="U33" s="9" t="n">
        <f aca="false">Штат!U18*Штат!$A$18*Рычаги!$B$14</f>
        <v>12500</v>
      </c>
      <c r="V33" s="9" t="n">
        <f aca="false">Штат!V18*Штат!$A$18*Рычаги!$B$14</f>
        <v>12500</v>
      </c>
      <c r="W33" s="9" t="n">
        <f aca="false">Штат!W18*Штат!$A$18*Рычаги!$B$14</f>
        <v>12500</v>
      </c>
      <c r="X33" s="9" t="n">
        <f aca="false">Штат!X18*Штат!$A$18*Рычаги!$B$14</f>
        <v>12500</v>
      </c>
      <c r="Y33" s="9" t="n">
        <f aca="false">Штат!Y18*Штат!$A$18*Рычаги!$B$14</f>
        <v>12500</v>
      </c>
      <c r="Z33" s="9" t="n">
        <f aca="false">Штат!Z18*Штат!$A$18*Рычаги!$B$14</f>
        <v>12500</v>
      </c>
      <c r="AA33" s="9" t="n">
        <f aca="false">Штат!AA18*Штат!$A$18*Рычаги!$B$14</f>
        <v>12500</v>
      </c>
      <c r="AB33" s="9" t="n">
        <f aca="false">Штат!AB18*Штат!$A$18*Рычаги!$B$14</f>
        <v>12500</v>
      </c>
      <c r="AC33" s="9" t="n">
        <f aca="false">Штат!AC18*Штат!$A$18*Рычаги!$B$14</f>
        <v>15000</v>
      </c>
      <c r="AD33" s="9" t="n">
        <f aca="false">Штат!AD18*Штат!$A$18*Рычаги!$B$14</f>
        <v>15000</v>
      </c>
      <c r="AE33" s="9" t="n">
        <f aca="false">Штат!AE18*Штат!$A$18*Рычаги!$B$14</f>
        <v>15000</v>
      </c>
      <c r="AF33" s="9" t="n">
        <f aca="false">Штат!AF18*Штат!$A$18*Рычаги!$B$14</f>
        <v>15000</v>
      </c>
      <c r="AG33" s="9" t="n">
        <f aca="false">Штат!AG18*Штат!$A$18*Рычаги!$B$14</f>
        <v>15000</v>
      </c>
      <c r="AH33" s="9" t="n">
        <f aca="false">Штат!AH18*Штат!$A$18*Рычаги!$B$14</f>
        <v>15000</v>
      </c>
      <c r="AI33" s="9" t="n">
        <f aca="false">Штат!AI18*Штат!$A$18*Рычаги!$B$14</f>
        <v>15000</v>
      </c>
      <c r="AJ33" s="9" t="n">
        <f aca="false">Штат!AJ18*Штат!$A$18*Рычаги!$B$14</f>
        <v>15000</v>
      </c>
      <c r="AK33" s="9" t="n">
        <f aca="false">Штат!AK18*Штат!$A$18*Рычаги!$B$14</f>
        <v>15000</v>
      </c>
      <c r="AL33" s="9" t="n">
        <f aca="false">Штат!AL18*Штат!$A$18*Рычаги!$B$14</f>
        <v>15000</v>
      </c>
      <c r="AM33" s="9" t="n">
        <f aca="false">SUM(C33:AL33)</f>
        <v>395000</v>
      </c>
    </row>
    <row r="34" customFormat="false" ht="15" hidden="false" customHeight="false" outlineLevel="0" collapsed="false">
      <c r="B34" s="7" t="s">
        <v>73</v>
      </c>
      <c r="C34" s="9" t="n">
        <f aca="false">Штат!C20*Штат!$A$20*Рычаги!$B$14</f>
        <v>0</v>
      </c>
      <c r="D34" s="9" t="n">
        <f aca="false">Штат!D20*Штат!$A$20*Рычаги!$B$14</f>
        <v>0</v>
      </c>
      <c r="E34" s="9" t="n">
        <f aca="false">Штат!E20*Штат!$A$20*Рычаги!$B$14</f>
        <v>9000</v>
      </c>
      <c r="F34" s="9" t="n">
        <f aca="false">Штат!F20*Штат!$A$20*Рычаги!$B$14</f>
        <v>18000</v>
      </c>
      <c r="G34" s="9" t="n">
        <f aca="false">Штат!G20*Штат!$A$20*Рычаги!$B$14</f>
        <v>18000</v>
      </c>
      <c r="H34" s="9" t="n">
        <f aca="false">Штат!H20*Штат!$A$20*Рычаги!$B$14</f>
        <v>27000</v>
      </c>
      <c r="I34" s="9" t="n">
        <f aca="false">Штат!I20*Штат!$A$20*Рычаги!$B$14</f>
        <v>27000</v>
      </c>
      <c r="J34" s="9" t="n">
        <f aca="false">Штат!J20*Штат!$A$20*Рычаги!$B$14</f>
        <v>36000</v>
      </c>
      <c r="K34" s="9" t="n">
        <f aca="false">Штат!K20*Штат!$A$20*Рычаги!$B$14</f>
        <v>36000</v>
      </c>
      <c r="L34" s="9" t="n">
        <f aca="false">Штат!L20*Штат!$A$20*Рычаги!$B$14</f>
        <v>36000</v>
      </c>
      <c r="M34" s="9" t="n">
        <f aca="false">Штат!M20*Штат!$A$20*Рычаги!$B$14</f>
        <v>45000</v>
      </c>
      <c r="N34" s="9" t="n">
        <f aca="false">Штат!N20*Штат!$A$20*Рычаги!$B$14</f>
        <v>45000</v>
      </c>
      <c r="O34" s="9" t="n">
        <f aca="false">Штат!O20*Штат!$A$20*Рычаги!$B$14</f>
        <v>45000</v>
      </c>
      <c r="P34" s="9" t="n">
        <f aca="false">Штат!P20*Штат!$A$20*Рычаги!$B$14</f>
        <v>54000</v>
      </c>
      <c r="Q34" s="9" t="n">
        <f aca="false">Штат!Q20*Штат!$A$20*Рычаги!$B$14</f>
        <v>54000</v>
      </c>
      <c r="R34" s="9" t="n">
        <f aca="false">Штат!R20*Штат!$A$20*Рычаги!$B$14</f>
        <v>54000</v>
      </c>
      <c r="S34" s="9" t="n">
        <f aca="false">Штат!S20*Штат!$A$20*Рычаги!$B$14</f>
        <v>63000</v>
      </c>
      <c r="T34" s="9" t="n">
        <f aca="false">Штат!T20*Штат!$A$20*Рычаги!$B$14</f>
        <v>63000</v>
      </c>
      <c r="U34" s="9" t="n">
        <f aca="false">Штат!U20*Штат!$A$20*Рычаги!$B$14</f>
        <v>63000</v>
      </c>
      <c r="V34" s="9" t="n">
        <f aca="false">Штат!V20*Штат!$A$20*Рычаги!$B$14</f>
        <v>63000</v>
      </c>
      <c r="W34" s="9" t="n">
        <f aca="false">Штат!W20*Штат!$A$20*Рычаги!$B$14</f>
        <v>63000</v>
      </c>
      <c r="X34" s="9" t="n">
        <f aca="false">Штат!X20*Штат!$A$20*Рычаги!$B$14</f>
        <v>63000</v>
      </c>
      <c r="Y34" s="9" t="n">
        <f aca="false">Штат!Y20*Штат!$A$20*Рычаги!$B$14</f>
        <v>63000</v>
      </c>
      <c r="Z34" s="9" t="n">
        <f aca="false">Штат!Z20*Штат!$A$20*Рычаги!$B$14</f>
        <v>63000</v>
      </c>
      <c r="AA34" s="9" t="n">
        <f aca="false">Штат!AA20*Штат!$A$20*Рычаги!$B$14</f>
        <v>63000</v>
      </c>
      <c r="AB34" s="9" t="n">
        <f aca="false">Штат!AB20*Штат!$A$20*Рычаги!$B$14</f>
        <v>63000</v>
      </c>
      <c r="AC34" s="9" t="n">
        <f aca="false">Штат!AC20*Штат!$A$20*Рычаги!$B$14</f>
        <v>63000</v>
      </c>
      <c r="AD34" s="9" t="n">
        <f aca="false">Штат!AD20*Штат!$A$20*Рычаги!$B$14</f>
        <v>63000</v>
      </c>
      <c r="AE34" s="9" t="n">
        <f aca="false">Штат!AE20*Штат!$A$20*Рычаги!$B$14</f>
        <v>63000</v>
      </c>
      <c r="AF34" s="9" t="n">
        <f aca="false">Штат!AF20*Штат!$A$20*Рычаги!$B$14</f>
        <v>63000</v>
      </c>
      <c r="AG34" s="9" t="n">
        <f aca="false">Штат!AG20*Штат!$A$20*Рычаги!$B$14</f>
        <v>63000</v>
      </c>
      <c r="AH34" s="9" t="n">
        <f aca="false">Штат!AH20*Штат!$A$20*Рычаги!$B$14</f>
        <v>63000</v>
      </c>
      <c r="AI34" s="9" t="n">
        <f aca="false">Штат!AI20*Штат!$A$20*Рычаги!$B$14</f>
        <v>63000</v>
      </c>
      <c r="AJ34" s="9" t="n">
        <f aca="false">Штат!AJ20*Штат!$A$20*Рычаги!$B$14</f>
        <v>63000</v>
      </c>
      <c r="AK34" s="9" t="n">
        <f aca="false">Штат!AK20*Штат!$A$20*Рычаги!$B$14</f>
        <v>63000</v>
      </c>
      <c r="AL34" s="9" t="n">
        <f aca="false">Штат!AL20*Штат!$A$20*Рычаги!$B$14</f>
        <v>63000</v>
      </c>
      <c r="AM34" s="9" t="n">
        <f aca="false">SUM(C34:AL34)</f>
        <v>1764000</v>
      </c>
    </row>
    <row r="35" customFormat="false" ht="15" hidden="false" customHeight="false" outlineLevel="0" collapsed="false">
      <c r="B35" s="7" t="s">
        <v>74</v>
      </c>
      <c r="C35" s="9" t="n">
        <f aca="false">Штат!C21*Штат!$A$21*Рычаги!$B$14</f>
        <v>0</v>
      </c>
      <c r="D35" s="9" t="n">
        <f aca="false">Штат!D21*Штат!$A$21*Рычаги!$B$14</f>
        <v>0</v>
      </c>
      <c r="E35" s="9" t="n">
        <f aca="false">Штат!E21*Штат!$A$21*Рычаги!$B$14</f>
        <v>0</v>
      </c>
      <c r="F35" s="9" t="n">
        <f aca="false">Штат!F21*Штат!$A$21*Рычаги!$B$14</f>
        <v>3500</v>
      </c>
      <c r="G35" s="9" t="n">
        <f aca="false">Штат!G21*Штат!$A$21*Рычаги!$B$14</f>
        <v>7000</v>
      </c>
      <c r="H35" s="9" t="n">
        <f aca="false">Штат!H21*Штат!$A$21*Рычаги!$B$14</f>
        <v>7000</v>
      </c>
      <c r="I35" s="9" t="n">
        <f aca="false">Штат!I21*Штат!$A$21*Рычаги!$B$14</f>
        <v>7000</v>
      </c>
      <c r="J35" s="9" t="n">
        <f aca="false">Штат!J21*Штат!$A$21*Рычаги!$B$14</f>
        <v>10500</v>
      </c>
      <c r="K35" s="9" t="n">
        <f aca="false">Штат!K21*Штат!$A$21*Рычаги!$B$14</f>
        <v>10500</v>
      </c>
      <c r="L35" s="9" t="n">
        <f aca="false">Штат!L21*Штат!$A$21*Рычаги!$B$14</f>
        <v>10500</v>
      </c>
      <c r="M35" s="9" t="n">
        <f aca="false">Штат!M21*Штат!$A$21*Рычаги!$B$14</f>
        <v>14000</v>
      </c>
      <c r="N35" s="9" t="n">
        <f aca="false">Штат!N21*Штат!$A$21*Рычаги!$B$14</f>
        <v>14000</v>
      </c>
      <c r="O35" s="9" t="n">
        <f aca="false">Штат!O21*Штат!$A$21*Рычаги!$B$14</f>
        <v>14000</v>
      </c>
      <c r="P35" s="9" t="n">
        <f aca="false">Штат!P21*Штат!$A$21*Рычаги!$B$14</f>
        <v>14000</v>
      </c>
      <c r="Q35" s="9" t="n">
        <f aca="false">Штат!Q21*Штат!$A$21*Рычаги!$B$14</f>
        <v>17500</v>
      </c>
      <c r="R35" s="9" t="n">
        <f aca="false">Штат!R21*Штат!$A$21*Рычаги!$B$14</f>
        <v>17500</v>
      </c>
      <c r="S35" s="9" t="n">
        <f aca="false">Штат!S21*Штат!$A$21*Рычаги!$B$14</f>
        <v>17500</v>
      </c>
      <c r="T35" s="9" t="n">
        <f aca="false">Штат!T21*Штат!$A$21*Рычаги!$B$14</f>
        <v>17500</v>
      </c>
      <c r="U35" s="9" t="n">
        <f aca="false">Штат!U21*Штат!$A$21*Рычаги!$B$14</f>
        <v>17500</v>
      </c>
      <c r="V35" s="9" t="n">
        <f aca="false">Штат!V21*Штат!$A$21*Рычаги!$B$14</f>
        <v>17500</v>
      </c>
      <c r="W35" s="9" t="n">
        <f aca="false">Штат!W21*Штат!$A$21*Рычаги!$B$14</f>
        <v>17500</v>
      </c>
      <c r="X35" s="9" t="n">
        <f aca="false">Штат!X21*Штат!$A$21*Рычаги!$B$14</f>
        <v>17500</v>
      </c>
      <c r="Y35" s="9" t="n">
        <f aca="false">Штат!Y21*Штат!$A$21*Рычаги!$B$14</f>
        <v>17500</v>
      </c>
      <c r="Z35" s="9" t="n">
        <f aca="false">Штат!Z21*Штат!$A$21*Рычаги!$B$14</f>
        <v>17500</v>
      </c>
      <c r="AA35" s="9" t="n">
        <f aca="false">Штат!AA21*Штат!$A$21*Рычаги!$B$14</f>
        <v>17500</v>
      </c>
      <c r="AB35" s="9" t="n">
        <f aca="false">Штат!AB21*Штат!$A$21*Рычаги!$B$14</f>
        <v>17500</v>
      </c>
      <c r="AC35" s="9" t="n">
        <f aca="false">Штат!AC21*Штат!$A$21*Рычаги!$B$14</f>
        <v>17500</v>
      </c>
      <c r="AD35" s="9" t="n">
        <f aca="false">Штат!AD21*Штат!$A$21*Рычаги!$B$14</f>
        <v>17500</v>
      </c>
      <c r="AE35" s="9" t="n">
        <f aca="false">Штат!AE21*Штат!$A$21*Рычаги!$B$14</f>
        <v>17500</v>
      </c>
      <c r="AF35" s="9" t="n">
        <f aca="false">Штат!AF21*Штат!$A$21*Рычаги!$B$14</f>
        <v>17500</v>
      </c>
      <c r="AG35" s="9" t="n">
        <f aca="false">Штат!AG21*Штат!$A$21*Рычаги!$B$14</f>
        <v>17500</v>
      </c>
      <c r="AH35" s="9" t="n">
        <f aca="false">Штат!AH21*Штат!$A$21*Рычаги!$B$14</f>
        <v>17500</v>
      </c>
      <c r="AI35" s="9" t="n">
        <f aca="false">Штат!AI21*Штат!$A$21*Рычаги!$B$14</f>
        <v>17500</v>
      </c>
      <c r="AJ35" s="9" t="n">
        <f aca="false">Штат!AJ21*Штат!$A$21*Рычаги!$B$14</f>
        <v>17500</v>
      </c>
      <c r="AK35" s="9" t="n">
        <f aca="false">Штат!AK21*Штат!$A$21*Рычаги!$B$14</f>
        <v>17500</v>
      </c>
      <c r="AL35" s="9" t="n">
        <f aca="false">Штат!AL21*Штат!$A$21*Рычаги!$B$14</f>
        <v>17500</v>
      </c>
      <c r="AM35" s="9" t="n">
        <f aca="false">SUM(C35:AL35)</f>
        <v>497000</v>
      </c>
    </row>
    <row r="36" customFormat="false" ht="15" hidden="false" customHeight="false" outlineLevel="0" collapsed="false">
      <c r="B36" s="7" t="s">
        <v>75</v>
      </c>
      <c r="C36" s="9" t="n">
        <f aca="false">Штат!C22*Штат!$A$22*Рычаги!$B$14</f>
        <v>0</v>
      </c>
      <c r="D36" s="9" t="n">
        <f aca="false">Штат!D22*Штат!$A$22*Рычаги!$B$14</f>
        <v>0</v>
      </c>
      <c r="E36" s="9" t="n">
        <f aca="false">Штат!E22*Штат!$A$22*Рычаги!$B$14</f>
        <v>5000</v>
      </c>
      <c r="F36" s="9" t="n">
        <f aca="false">Штат!F22*Штат!$A$22*Рычаги!$B$14</f>
        <v>10000</v>
      </c>
      <c r="G36" s="9" t="n">
        <f aca="false">Штат!G22*Штат!$A$22*Рычаги!$B$14</f>
        <v>10000</v>
      </c>
      <c r="H36" s="9" t="n">
        <f aca="false">Штат!H22*Штат!$A$22*Рычаги!$B$14</f>
        <v>15000</v>
      </c>
      <c r="I36" s="9" t="n">
        <f aca="false">Штат!I22*Штат!$A$22*Рычаги!$B$14</f>
        <v>20000</v>
      </c>
      <c r="J36" s="9" t="n">
        <f aca="false">Штат!J22*Штат!$A$22*Рычаги!$B$14</f>
        <v>20000</v>
      </c>
      <c r="K36" s="9" t="n">
        <f aca="false">Штат!K22*Штат!$A$22*Рычаги!$B$14</f>
        <v>25000</v>
      </c>
      <c r="L36" s="9" t="n">
        <f aca="false">Штат!L22*Штат!$A$22*Рычаги!$B$14</f>
        <v>25000</v>
      </c>
      <c r="M36" s="9" t="n">
        <f aca="false">Штат!M22*Штат!$A$22*Рычаги!$B$14</f>
        <v>30000</v>
      </c>
      <c r="N36" s="9" t="n">
        <f aca="false">Штат!N22*Штат!$A$22*Рычаги!$B$14</f>
        <v>30000</v>
      </c>
      <c r="O36" s="9" t="n">
        <f aca="false">Штат!O22*Штат!$A$22*Рычаги!$B$14</f>
        <v>30000</v>
      </c>
      <c r="P36" s="9" t="n">
        <f aca="false">Штат!P22*Штат!$A$22*Рычаги!$B$14</f>
        <v>35000</v>
      </c>
      <c r="Q36" s="9" t="n">
        <f aca="false">Штат!Q22*Штат!$A$22*Рычаги!$B$14</f>
        <v>35000</v>
      </c>
      <c r="R36" s="9" t="n">
        <f aca="false">Штат!R22*Штат!$A$22*Рычаги!$B$14</f>
        <v>35000</v>
      </c>
      <c r="S36" s="9" t="n">
        <f aca="false">Штат!S22*Штат!$A$22*Рычаги!$B$14</f>
        <v>40000</v>
      </c>
      <c r="T36" s="9" t="n">
        <f aca="false">Штат!T22*Штат!$A$22*Рычаги!$B$14</f>
        <v>40000</v>
      </c>
      <c r="U36" s="9" t="n">
        <f aca="false">Штат!U22*Штат!$A$22*Рычаги!$B$14</f>
        <v>40000</v>
      </c>
      <c r="V36" s="9" t="n">
        <f aca="false">Штат!V22*Штат!$A$22*Рычаги!$B$14</f>
        <v>40000</v>
      </c>
      <c r="W36" s="9" t="n">
        <f aca="false">Штат!W22*Штат!$A$22*Рычаги!$B$14</f>
        <v>45000</v>
      </c>
      <c r="X36" s="9" t="n">
        <f aca="false">Штат!X22*Штат!$A$22*Рычаги!$B$14</f>
        <v>45000</v>
      </c>
      <c r="Y36" s="9" t="n">
        <f aca="false">Штат!Y22*Штат!$A$22*Рычаги!$B$14</f>
        <v>45000</v>
      </c>
      <c r="Z36" s="9" t="n">
        <f aca="false">Штат!Z22*Штат!$A$22*Рычаги!$B$14</f>
        <v>45000</v>
      </c>
      <c r="AA36" s="9" t="n">
        <f aca="false">Штат!AA22*Штат!$A$22*Рычаги!$B$14</f>
        <v>50000</v>
      </c>
      <c r="AB36" s="9" t="n">
        <f aca="false">Штат!AB22*Штат!$A$22*Рычаги!$B$14</f>
        <v>50000</v>
      </c>
      <c r="AC36" s="9" t="n">
        <f aca="false">Штат!AC22*Штат!$A$22*Рычаги!$B$14</f>
        <v>50000</v>
      </c>
      <c r="AD36" s="9" t="n">
        <f aca="false">Штат!AD22*Штат!$A$22*Рычаги!$B$14</f>
        <v>50000</v>
      </c>
      <c r="AE36" s="9" t="n">
        <f aca="false">Штат!AE22*Штат!$A$22*Рычаги!$B$14</f>
        <v>50000</v>
      </c>
      <c r="AF36" s="9" t="n">
        <f aca="false">Штат!AF22*Штат!$A$22*Рычаги!$B$14</f>
        <v>55000</v>
      </c>
      <c r="AG36" s="9" t="n">
        <f aca="false">Штат!AG22*Штат!$A$22*Рычаги!$B$14</f>
        <v>55000</v>
      </c>
      <c r="AH36" s="9" t="n">
        <f aca="false">Штат!AH22*Штат!$A$22*Рычаги!$B$14</f>
        <v>55000</v>
      </c>
      <c r="AI36" s="9" t="n">
        <f aca="false">Штат!AI22*Штат!$A$22*Рычаги!$B$14</f>
        <v>55000</v>
      </c>
      <c r="AJ36" s="9" t="n">
        <f aca="false">Штат!AJ22*Штат!$A$22*Рычаги!$B$14</f>
        <v>60000</v>
      </c>
      <c r="AK36" s="9" t="n">
        <f aca="false">Штат!AK22*Штат!$A$22*Рычаги!$B$14</f>
        <v>60000</v>
      </c>
      <c r="AL36" s="9" t="n">
        <f aca="false">Штат!AL22*Штат!$A$22*Рычаги!$B$14</f>
        <v>60000</v>
      </c>
      <c r="AM36" s="9" t="n">
        <f aca="false">SUM(C36:AL36)</f>
        <v>1315000</v>
      </c>
    </row>
    <row r="37" customFormat="false" ht="15" hidden="false" customHeight="false" outlineLevel="0" collapsed="false">
      <c r="B37" s="7" t="s">
        <v>76</v>
      </c>
      <c r="C37" s="9" t="n">
        <f aca="false">Штат!C23*Штат!$A$23*Рычаги!$B$14</f>
        <v>0</v>
      </c>
      <c r="D37" s="9" t="n">
        <f aca="false">Штат!D23*Штат!$A$23*Рычаги!$B$14</f>
        <v>0</v>
      </c>
      <c r="E37" s="9" t="n">
        <f aca="false">Штат!E23*Штат!$A$23*Рычаги!$B$14</f>
        <v>0</v>
      </c>
      <c r="F37" s="9" t="n">
        <f aca="false">Штат!F23*Штат!$A$23*Рычаги!$B$14</f>
        <v>0</v>
      </c>
      <c r="G37" s="9" t="n">
        <f aca="false">Штат!G23*Штат!$A$23*Рычаги!$B$14</f>
        <v>0</v>
      </c>
      <c r="H37" s="9" t="n">
        <f aca="false">Штат!H23*Штат!$A$23*Рычаги!$B$14</f>
        <v>3500</v>
      </c>
      <c r="I37" s="9" t="n">
        <f aca="false">Штат!I23*Штат!$A$23*Рычаги!$B$14</f>
        <v>3500</v>
      </c>
      <c r="J37" s="9" t="n">
        <f aca="false">Штат!J23*Штат!$A$23*Рычаги!$B$14</f>
        <v>7000</v>
      </c>
      <c r="K37" s="9" t="n">
        <f aca="false">Штат!K23*Штат!$A$23*Рычаги!$B$14</f>
        <v>7000</v>
      </c>
      <c r="L37" s="9" t="n">
        <f aca="false">Штат!L23*Штат!$A$23*Рычаги!$B$14</f>
        <v>7000</v>
      </c>
      <c r="M37" s="9" t="n">
        <f aca="false">Штат!M23*Штат!$A$23*Рычаги!$B$14</f>
        <v>10500</v>
      </c>
      <c r="N37" s="9" t="n">
        <f aca="false">Штат!N23*Штат!$A$23*Рычаги!$B$14</f>
        <v>10500</v>
      </c>
      <c r="O37" s="9" t="n">
        <f aca="false">Штат!O23*Штат!$A$23*Рычаги!$B$14</f>
        <v>10500</v>
      </c>
      <c r="P37" s="9" t="n">
        <f aca="false">Штат!P23*Штат!$A$23*Рычаги!$B$14</f>
        <v>14000</v>
      </c>
      <c r="Q37" s="9" t="n">
        <f aca="false">Штат!Q23*Штат!$A$23*Рычаги!$B$14</f>
        <v>14000</v>
      </c>
      <c r="R37" s="9" t="n">
        <f aca="false">Штат!R23*Штат!$A$23*Рычаги!$B$14</f>
        <v>14000</v>
      </c>
      <c r="S37" s="9" t="n">
        <f aca="false">Штат!S23*Штат!$A$23*Рычаги!$B$14</f>
        <v>17500</v>
      </c>
      <c r="T37" s="9" t="n">
        <f aca="false">Штат!T23*Штат!$A$23*Рычаги!$B$14</f>
        <v>17500</v>
      </c>
      <c r="U37" s="9" t="n">
        <f aca="false">Штат!U23*Штат!$A$23*Рычаги!$B$14</f>
        <v>21000</v>
      </c>
      <c r="V37" s="9" t="n">
        <f aca="false">Штат!V23*Штат!$A$23*Рычаги!$B$14</f>
        <v>21000</v>
      </c>
      <c r="W37" s="9" t="n">
        <f aca="false">Штат!W23*Штат!$A$23*Рычаги!$B$14</f>
        <v>24500</v>
      </c>
      <c r="X37" s="9" t="n">
        <f aca="false">Штат!X23*Штат!$A$23*Рычаги!$B$14</f>
        <v>24500</v>
      </c>
      <c r="Y37" s="9" t="n">
        <f aca="false">Штат!Y23*Штат!$A$23*Рычаги!$B$14</f>
        <v>28000</v>
      </c>
      <c r="Z37" s="9" t="n">
        <f aca="false">Штат!Z23*Штат!$A$23*Рычаги!$B$14</f>
        <v>28000</v>
      </c>
      <c r="AA37" s="9" t="n">
        <f aca="false">Штат!AA23*Штат!$A$23*Рычаги!$B$14</f>
        <v>31500</v>
      </c>
      <c r="AB37" s="9" t="n">
        <f aca="false">Штат!AB23*Штат!$A$23*Рычаги!$B$14</f>
        <v>31500</v>
      </c>
      <c r="AC37" s="9" t="n">
        <f aca="false">Штат!AC23*Штат!$A$23*Рычаги!$B$14</f>
        <v>35000</v>
      </c>
      <c r="AD37" s="9" t="n">
        <f aca="false">Штат!AD23*Штат!$A$23*Рычаги!$B$14</f>
        <v>35000</v>
      </c>
      <c r="AE37" s="9" t="n">
        <f aca="false">Штат!AE23*Штат!$A$23*Рычаги!$B$14</f>
        <v>38500</v>
      </c>
      <c r="AF37" s="9" t="n">
        <f aca="false">Штат!AF23*Штат!$A$23*Рычаги!$B$14</f>
        <v>38500</v>
      </c>
      <c r="AG37" s="9" t="n">
        <f aca="false">Штат!AG23*Штат!$A$23*Рычаги!$B$14</f>
        <v>42000</v>
      </c>
      <c r="AH37" s="9" t="n">
        <f aca="false">Штат!AH23*Штат!$A$23*Рычаги!$B$14</f>
        <v>42000</v>
      </c>
      <c r="AI37" s="9" t="n">
        <f aca="false">Штат!AI23*Штат!$A$23*Рычаги!$B$14</f>
        <v>45500</v>
      </c>
      <c r="AJ37" s="9" t="n">
        <f aca="false">Штат!AJ23*Штат!$A$23*Рычаги!$B$14</f>
        <v>45500</v>
      </c>
      <c r="AK37" s="9" t="n">
        <f aca="false">Штат!AK23*Штат!$A$23*Рычаги!$B$14</f>
        <v>49000</v>
      </c>
      <c r="AL37" s="9" t="n">
        <f aca="false">Штат!AL23*Штат!$A$23*Рычаги!$B$14</f>
        <v>49000</v>
      </c>
      <c r="AM37" s="9" t="n">
        <f aca="false">SUM(C37:AL37)</f>
        <v>766500</v>
      </c>
    </row>
    <row r="38" customFormat="false" ht="15" hidden="false" customHeight="false" outlineLevel="0" collapsed="false">
      <c r="B38" s="7" t="s">
        <v>77</v>
      </c>
      <c r="C38" s="9" t="n">
        <f aca="false">Штат!C25*Штат!$A$25*Рычаги!$B$14</f>
        <v>0</v>
      </c>
      <c r="D38" s="9" t="n">
        <f aca="false">Штат!D25*Штат!$A$25*Рычаги!$B$14</f>
        <v>4500</v>
      </c>
      <c r="E38" s="9" t="n">
        <f aca="false">Штат!E25*Штат!$A$25*Рычаги!$B$14</f>
        <v>9000</v>
      </c>
      <c r="F38" s="9" t="n">
        <f aca="false">Штат!F25*Штат!$A$25*Рычаги!$B$14</f>
        <v>9000</v>
      </c>
      <c r="G38" s="9" t="n">
        <f aca="false">Штат!G25*Штат!$A$25*Рычаги!$B$14</f>
        <v>13500</v>
      </c>
      <c r="H38" s="9" t="n">
        <f aca="false">Штат!H25*Штат!$A$25*Рычаги!$B$14</f>
        <v>13500</v>
      </c>
      <c r="I38" s="9" t="n">
        <f aca="false">Штат!I25*Штат!$A$25*Рычаги!$B$14</f>
        <v>13500</v>
      </c>
      <c r="J38" s="9" t="n">
        <f aca="false">Штат!J25*Штат!$A$25*Рычаги!$B$14</f>
        <v>13500</v>
      </c>
      <c r="K38" s="9" t="n">
        <f aca="false">Штат!K25*Штат!$A$25*Рычаги!$B$14</f>
        <v>18000</v>
      </c>
      <c r="L38" s="9" t="n">
        <f aca="false">Штат!L25*Штат!$A$25*Рычаги!$B$14</f>
        <v>18000</v>
      </c>
      <c r="M38" s="9" t="n">
        <f aca="false">Штат!M25*Штат!$A$25*Рычаги!$B$14</f>
        <v>18000</v>
      </c>
      <c r="N38" s="9" t="n">
        <f aca="false">Штат!N25*Штат!$A$25*Рычаги!$B$14</f>
        <v>18000</v>
      </c>
      <c r="O38" s="9" t="n">
        <f aca="false">Штат!O25*Штат!$A$25*Рычаги!$B$14</f>
        <v>18000</v>
      </c>
      <c r="P38" s="9" t="n">
        <f aca="false">Штат!P25*Штат!$A$25*Рычаги!$B$14</f>
        <v>18000</v>
      </c>
      <c r="Q38" s="9" t="n">
        <f aca="false">Штат!Q25*Штат!$A$25*Рычаги!$B$14</f>
        <v>18000</v>
      </c>
      <c r="R38" s="9" t="n">
        <f aca="false">Штат!R25*Штат!$A$25*Рычаги!$B$14</f>
        <v>18000</v>
      </c>
      <c r="S38" s="9" t="n">
        <f aca="false">Штат!S25*Штат!$A$25*Рычаги!$B$14</f>
        <v>18000</v>
      </c>
      <c r="T38" s="9" t="n">
        <f aca="false">Штат!T25*Штат!$A$25*Рычаги!$B$14</f>
        <v>18000</v>
      </c>
      <c r="U38" s="9" t="n">
        <f aca="false">Штат!U25*Штат!$A$25*Рычаги!$B$14</f>
        <v>18000</v>
      </c>
      <c r="V38" s="9" t="n">
        <f aca="false">Штат!V25*Штат!$A$25*Рычаги!$B$14</f>
        <v>18000</v>
      </c>
      <c r="W38" s="9" t="n">
        <f aca="false">Штат!W25*Штат!$A$25*Рычаги!$B$14</f>
        <v>18000</v>
      </c>
      <c r="X38" s="9" t="n">
        <f aca="false">Штат!X25*Штат!$A$25*Рычаги!$B$14</f>
        <v>18000</v>
      </c>
      <c r="Y38" s="9" t="n">
        <f aca="false">Штат!Y25*Штат!$A$25*Рычаги!$B$14</f>
        <v>18000</v>
      </c>
      <c r="Z38" s="9" t="n">
        <f aca="false">Штат!Z25*Штат!$A$25*Рычаги!$B$14</f>
        <v>18000</v>
      </c>
      <c r="AA38" s="9" t="n">
        <f aca="false">Штат!AA25*Штат!$A$25*Рычаги!$B$14</f>
        <v>18000</v>
      </c>
      <c r="AB38" s="9" t="n">
        <f aca="false">Штат!AB25*Штат!$A$25*Рычаги!$B$14</f>
        <v>18000</v>
      </c>
      <c r="AC38" s="9" t="n">
        <f aca="false">Штат!AC25*Штат!$A$25*Рычаги!$B$14</f>
        <v>18000</v>
      </c>
      <c r="AD38" s="9" t="n">
        <f aca="false">Штат!AD25*Штат!$A$25*Рычаги!$B$14</f>
        <v>18000</v>
      </c>
      <c r="AE38" s="9" t="n">
        <f aca="false">Штат!AE25*Штат!$A$25*Рычаги!$B$14</f>
        <v>18000</v>
      </c>
      <c r="AF38" s="9" t="n">
        <f aca="false">Штат!AF25*Штат!$A$25*Рычаги!$B$14</f>
        <v>18000</v>
      </c>
      <c r="AG38" s="9" t="n">
        <f aca="false">Штат!AG25*Штат!$A$25*Рычаги!$B$14</f>
        <v>18000</v>
      </c>
      <c r="AH38" s="9" t="n">
        <f aca="false">Штат!AH25*Штат!$A$25*Рычаги!$B$14</f>
        <v>18000</v>
      </c>
      <c r="AI38" s="9" t="n">
        <f aca="false">Штат!AI25*Штат!$A$25*Рычаги!$B$14</f>
        <v>18000</v>
      </c>
      <c r="AJ38" s="9" t="n">
        <f aca="false">Штат!AJ25*Штат!$A$25*Рычаги!$B$14</f>
        <v>18000</v>
      </c>
      <c r="AK38" s="9" t="n">
        <f aca="false">Штат!AK25*Штат!$A$25*Рычаги!$B$14</f>
        <v>18000</v>
      </c>
      <c r="AL38" s="9" t="n">
        <f aca="false">Штат!AL25*Штат!$A$25*Рычаги!$B$14</f>
        <v>18000</v>
      </c>
      <c r="AM38" s="9" t="n">
        <f aca="false">SUM(C38:AL38)</f>
        <v>580500</v>
      </c>
    </row>
    <row r="39" customFormat="false" ht="15" hidden="false" customHeight="false" outlineLevel="0" collapsed="false">
      <c r="B39" s="7" t="s">
        <v>78</v>
      </c>
      <c r="C39" s="9" t="n">
        <f aca="false">Штат!C26*Штат!$A$26*Рычаги!$B$14</f>
        <v>0</v>
      </c>
      <c r="D39" s="9" t="n">
        <f aca="false">Штат!D26*Штат!$A$26*Рычаги!$B$14</f>
        <v>3000</v>
      </c>
      <c r="E39" s="9" t="n">
        <f aca="false">Штат!E26*Штат!$A$26*Рычаги!$B$14</f>
        <v>3000</v>
      </c>
      <c r="F39" s="9" t="n">
        <f aca="false">Штат!F26*Штат!$A$26*Рычаги!$B$14</f>
        <v>6000</v>
      </c>
      <c r="G39" s="9" t="n">
        <f aca="false">Штат!G26*Штат!$A$26*Рычаги!$B$14</f>
        <v>6000</v>
      </c>
      <c r="H39" s="9" t="n">
        <f aca="false">Штат!H26*Штат!$A$26*Рычаги!$B$14</f>
        <v>9000</v>
      </c>
      <c r="I39" s="9" t="n">
        <f aca="false">Штат!I26*Штат!$A$26*Рычаги!$B$14</f>
        <v>9000</v>
      </c>
      <c r="J39" s="9" t="n">
        <f aca="false">Штат!J26*Штат!$A$26*Рычаги!$B$14</f>
        <v>9000</v>
      </c>
      <c r="K39" s="9" t="n">
        <f aca="false">Штат!K26*Штат!$A$26*Рычаги!$B$14</f>
        <v>12000</v>
      </c>
      <c r="L39" s="9" t="n">
        <f aca="false">Штат!L26*Штат!$A$26*Рычаги!$B$14</f>
        <v>12000</v>
      </c>
      <c r="M39" s="9" t="n">
        <f aca="false">Штат!M26*Штат!$A$26*Рычаги!$B$14</f>
        <v>12000</v>
      </c>
      <c r="N39" s="9" t="n">
        <f aca="false">Штат!N26*Штат!$A$26*Рычаги!$B$14</f>
        <v>12000</v>
      </c>
      <c r="O39" s="9" t="n">
        <f aca="false">Штат!O26*Штат!$A$26*Рычаги!$B$14</f>
        <v>12000</v>
      </c>
      <c r="P39" s="9" t="n">
        <f aca="false">Штат!P26*Штат!$A$26*Рычаги!$B$14</f>
        <v>12000</v>
      </c>
      <c r="Q39" s="9" t="n">
        <f aca="false">Штат!Q26*Штат!$A$26*Рычаги!$B$14</f>
        <v>12000</v>
      </c>
      <c r="R39" s="9" t="n">
        <f aca="false">Штат!R26*Штат!$A$26*Рычаги!$B$14</f>
        <v>12000</v>
      </c>
      <c r="S39" s="9" t="n">
        <f aca="false">Штат!S26*Штат!$A$26*Рычаги!$B$14</f>
        <v>12000</v>
      </c>
      <c r="T39" s="9" t="n">
        <f aca="false">Штат!T26*Штат!$A$26*Рычаги!$B$14</f>
        <v>12000</v>
      </c>
      <c r="U39" s="9" t="n">
        <f aca="false">Штат!U26*Штат!$A$26*Рычаги!$B$14</f>
        <v>12000</v>
      </c>
      <c r="V39" s="9" t="n">
        <f aca="false">Штат!V26*Штат!$A$26*Рычаги!$B$14</f>
        <v>12000</v>
      </c>
      <c r="W39" s="9" t="n">
        <f aca="false">Штат!W26*Штат!$A$26*Рычаги!$B$14</f>
        <v>12000</v>
      </c>
      <c r="X39" s="9" t="n">
        <f aca="false">Штат!X26*Штат!$A$26*Рычаги!$B$14</f>
        <v>12000</v>
      </c>
      <c r="Y39" s="9" t="n">
        <f aca="false">Штат!Y26*Штат!$A$26*Рычаги!$B$14</f>
        <v>12000</v>
      </c>
      <c r="Z39" s="9" t="n">
        <f aca="false">Штат!Z26*Штат!$A$26*Рычаги!$B$14</f>
        <v>12000</v>
      </c>
      <c r="AA39" s="9" t="n">
        <f aca="false">Штат!AA26*Штат!$A$26*Рычаги!$B$14</f>
        <v>12000</v>
      </c>
      <c r="AB39" s="9" t="n">
        <f aca="false">Штат!AB26*Штат!$A$26*Рычаги!$B$14</f>
        <v>12000</v>
      </c>
      <c r="AC39" s="9" t="n">
        <f aca="false">Штат!AC26*Штат!$A$26*Рычаги!$B$14</f>
        <v>12000</v>
      </c>
      <c r="AD39" s="9" t="n">
        <f aca="false">Штат!AD26*Штат!$A$26*Рычаги!$B$14</f>
        <v>12000</v>
      </c>
      <c r="AE39" s="9" t="n">
        <f aca="false">Штат!AE26*Штат!$A$26*Рычаги!$B$14</f>
        <v>12000</v>
      </c>
      <c r="AF39" s="9" t="n">
        <f aca="false">Штат!AF26*Штат!$A$26*Рычаги!$B$14</f>
        <v>12000</v>
      </c>
      <c r="AG39" s="9" t="n">
        <f aca="false">Штат!AG26*Штат!$A$26*Рычаги!$B$14</f>
        <v>12000</v>
      </c>
      <c r="AH39" s="9" t="n">
        <f aca="false">Штат!AH26*Штат!$A$26*Рычаги!$B$14</f>
        <v>12000</v>
      </c>
      <c r="AI39" s="9" t="n">
        <f aca="false">Штат!AI26*Штат!$A$26*Рычаги!$B$14</f>
        <v>12000</v>
      </c>
      <c r="AJ39" s="9" t="n">
        <f aca="false">Штат!AJ26*Штат!$A$26*Рычаги!$B$14</f>
        <v>12000</v>
      </c>
      <c r="AK39" s="9" t="n">
        <f aca="false">Штат!AK26*Штат!$A$26*Рычаги!$B$14</f>
        <v>12000</v>
      </c>
      <c r="AL39" s="9" t="n">
        <f aca="false">Штат!AL26*Штат!$A$26*Рычаги!$B$14</f>
        <v>12000</v>
      </c>
      <c r="AM39" s="9" t="n">
        <f aca="false">SUM(C39:AL39)</f>
        <v>381000</v>
      </c>
    </row>
    <row r="40" customFormat="false" ht="15" hidden="false" customHeight="false" outlineLevel="0" collapsed="false">
      <c r="B40" s="7" t="s">
        <v>79</v>
      </c>
      <c r="C40" s="9" t="n">
        <f aca="false">Штат!C27*Штат!$A$27*Рычаги!$B$14</f>
        <v>0</v>
      </c>
      <c r="D40" s="9" t="n">
        <f aca="false">Штат!D27*Штат!$A$27*Рычаги!$B$14</f>
        <v>2500</v>
      </c>
      <c r="E40" s="9" t="n">
        <f aca="false">Штат!E27*Штат!$A$27*Рычаги!$B$14</f>
        <v>5000</v>
      </c>
      <c r="F40" s="9" t="n">
        <f aca="false">Штат!F27*Штат!$A$27*Рычаги!$B$14</f>
        <v>7500</v>
      </c>
      <c r="G40" s="9" t="n">
        <f aca="false">Штат!G27*Штат!$A$27*Рычаги!$B$14</f>
        <v>10000</v>
      </c>
      <c r="H40" s="9" t="n">
        <f aca="false">Штат!H27*Штат!$A$27*Рычаги!$B$14</f>
        <v>12500</v>
      </c>
      <c r="I40" s="9" t="n">
        <f aca="false">Штат!I27*Штат!$A$27*Рычаги!$B$14</f>
        <v>12500</v>
      </c>
      <c r="J40" s="9" t="n">
        <f aca="false">Штат!J27*Штат!$A$27*Рычаги!$B$14</f>
        <v>12500</v>
      </c>
      <c r="K40" s="9" t="n">
        <f aca="false">Штат!K27*Штат!$A$27*Рычаги!$B$14</f>
        <v>15000</v>
      </c>
      <c r="L40" s="9" t="n">
        <f aca="false">Штат!L27*Штат!$A$27*Рычаги!$B$14</f>
        <v>15000</v>
      </c>
      <c r="M40" s="9" t="n">
        <f aca="false">Штат!M27*Штат!$A$27*Рычаги!$B$14</f>
        <v>15000</v>
      </c>
      <c r="N40" s="9" t="n">
        <f aca="false">Штат!N27*Штат!$A$27*Рычаги!$B$14</f>
        <v>15000</v>
      </c>
      <c r="O40" s="9" t="n">
        <f aca="false">Штат!O27*Штат!$A$27*Рычаги!$B$14</f>
        <v>15000</v>
      </c>
      <c r="P40" s="9" t="n">
        <f aca="false">Штат!P27*Штат!$A$27*Рычаги!$B$14</f>
        <v>15000</v>
      </c>
      <c r="Q40" s="9" t="n">
        <f aca="false">Штат!Q27*Штат!$A$27*Рычаги!$B$14</f>
        <v>15000</v>
      </c>
      <c r="R40" s="9" t="n">
        <f aca="false">Штат!R27*Штат!$A$27*Рычаги!$B$14</f>
        <v>15000</v>
      </c>
      <c r="S40" s="9" t="n">
        <f aca="false">Штат!S27*Штат!$A$27*Рычаги!$B$14</f>
        <v>15000</v>
      </c>
      <c r="T40" s="9" t="n">
        <f aca="false">Штат!T27*Штат!$A$27*Рычаги!$B$14</f>
        <v>15000</v>
      </c>
      <c r="U40" s="9" t="n">
        <f aca="false">Штат!U27*Штат!$A$27*Рычаги!$B$14</f>
        <v>15000</v>
      </c>
      <c r="V40" s="9" t="n">
        <f aca="false">Штат!V27*Штат!$A$27*Рычаги!$B$14</f>
        <v>15000</v>
      </c>
      <c r="W40" s="9" t="n">
        <f aca="false">Штат!W27*Штат!$A$27*Рычаги!$B$14</f>
        <v>15000</v>
      </c>
      <c r="X40" s="9" t="n">
        <f aca="false">Штат!X27*Штат!$A$27*Рычаги!$B$14</f>
        <v>15000</v>
      </c>
      <c r="Y40" s="9" t="n">
        <f aca="false">Штат!Y27*Штат!$A$27*Рычаги!$B$14</f>
        <v>15000</v>
      </c>
      <c r="Z40" s="9" t="n">
        <f aca="false">Штат!Z27*Штат!$A$27*Рычаги!$B$14</f>
        <v>15000</v>
      </c>
      <c r="AA40" s="9" t="n">
        <f aca="false">Штат!AA27*Штат!$A$27*Рычаги!$B$14</f>
        <v>15000</v>
      </c>
      <c r="AB40" s="9" t="n">
        <f aca="false">Штат!AB27*Штат!$A$27*Рычаги!$B$14</f>
        <v>15000</v>
      </c>
      <c r="AC40" s="9" t="n">
        <f aca="false">Штат!AC27*Штат!$A$27*Рычаги!$B$14</f>
        <v>15000</v>
      </c>
      <c r="AD40" s="9" t="n">
        <f aca="false">Штат!AD27*Штат!$A$27*Рычаги!$B$14</f>
        <v>15000</v>
      </c>
      <c r="AE40" s="9" t="n">
        <f aca="false">Штат!AE27*Штат!$A$27*Рычаги!$B$14</f>
        <v>15000</v>
      </c>
      <c r="AF40" s="9" t="n">
        <f aca="false">Штат!AF27*Штат!$A$27*Рычаги!$B$14</f>
        <v>15000</v>
      </c>
      <c r="AG40" s="9" t="n">
        <f aca="false">Штат!AG27*Штат!$A$27*Рычаги!$B$14</f>
        <v>15000</v>
      </c>
      <c r="AH40" s="9" t="n">
        <f aca="false">Штат!AH27*Штат!$A$27*Рычаги!$B$14</f>
        <v>15000</v>
      </c>
      <c r="AI40" s="9" t="n">
        <f aca="false">Штат!AI27*Штат!$A$27*Рычаги!$B$14</f>
        <v>15000</v>
      </c>
      <c r="AJ40" s="9" t="n">
        <f aca="false">Штат!AJ27*Штат!$A$27*Рычаги!$B$14</f>
        <v>15000</v>
      </c>
      <c r="AK40" s="9" t="n">
        <f aca="false">Штат!AK27*Штат!$A$27*Рычаги!$B$14</f>
        <v>15000</v>
      </c>
      <c r="AL40" s="9" t="n">
        <f aca="false">Штат!AL27*Штат!$A$27*Рычаги!$B$14</f>
        <v>15000</v>
      </c>
      <c r="AM40" s="9" t="n">
        <f aca="false">SUM(C40:AL40)</f>
        <v>482500</v>
      </c>
    </row>
    <row r="41" customFormat="false" ht="15" hidden="false" customHeight="false" outlineLevel="0" collapsed="false">
      <c r="B41" s="7" t="s">
        <v>80</v>
      </c>
      <c r="C41" s="9" t="n">
        <f aca="false">Штат!C28*Штат!$A$28*Рычаги!$B$14</f>
        <v>0</v>
      </c>
      <c r="D41" s="9" t="n">
        <f aca="false">Штат!D28*Штат!$A$28*Рычаги!$B$14</f>
        <v>0</v>
      </c>
      <c r="E41" s="9" t="n">
        <f aca="false">Штат!E28*Штат!$A$28*Рычаги!$B$14</f>
        <v>2500</v>
      </c>
      <c r="F41" s="9" t="n">
        <f aca="false">Штат!F28*Штат!$A$28*Рычаги!$B$14</f>
        <v>2500</v>
      </c>
      <c r="G41" s="9" t="n">
        <f aca="false">Штат!G28*Штат!$A$28*Рычаги!$B$14</f>
        <v>5000</v>
      </c>
      <c r="H41" s="9" t="n">
        <f aca="false">Штат!H28*Штат!$A$28*Рычаги!$B$14</f>
        <v>5000</v>
      </c>
      <c r="I41" s="9" t="n">
        <f aca="false">Штат!I28*Штат!$A$28*Рычаги!$B$14</f>
        <v>5000</v>
      </c>
      <c r="J41" s="9" t="n">
        <f aca="false">Штат!J28*Штат!$A$28*Рычаги!$B$14</f>
        <v>5000</v>
      </c>
      <c r="K41" s="9" t="n">
        <f aca="false">Штат!K28*Штат!$A$28*Рычаги!$B$14</f>
        <v>7500</v>
      </c>
      <c r="L41" s="9" t="n">
        <f aca="false">Штат!L28*Штат!$A$28*Рычаги!$B$14</f>
        <v>7500</v>
      </c>
      <c r="M41" s="9" t="n">
        <f aca="false">Штат!M28*Штат!$A$28*Рычаги!$B$14</f>
        <v>7500</v>
      </c>
      <c r="N41" s="9" t="n">
        <f aca="false">Штат!N28*Штат!$A$28*Рычаги!$B$14</f>
        <v>7500</v>
      </c>
      <c r="O41" s="9" t="n">
        <f aca="false">Штат!O28*Штат!$A$28*Рычаги!$B$14</f>
        <v>7500</v>
      </c>
      <c r="P41" s="9" t="n">
        <f aca="false">Штат!P28*Штат!$A$28*Рычаги!$B$14</f>
        <v>7500</v>
      </c>
      <c r="Q41" s="9" t="n">
        <f aca="false">Штат!Q28*Штат!$A$28*Рычаги!$B$14</f>
        <v>7500</v>
      </c>
      <c r="R41" s="9" t="n">
        <f aca="false">Штат!R28*Штат!$A$28*Рычаги!$B$14</f>
        <v>7500</v>
      </c>
      <c r="S41" s="9" t="n">
        <f aca="false">Штат!S28*Штат!$A$28*Рычаги!$B$14</f>
        <v>7500</v>
      </c>
      <c r="T41" s="9" t="n">
        <f aca="false">Штат!T28*Штат!$A$28*Рычаги!$B$14</f>
        <v>7500</v>
      </c>
      <c r="U41" s="9" t="n">
        <f aca="false">Штат!U28*Штат!$A$28*Рычаги!$B$14</f>
        <v>7500</v>
      </c>
      <c r="V41" s="9" t="n">
        <f aca="false">Штат!V28*Штат!$A$28*Рычаги!$B$14</f>
        <v>7500</v>
      </c>
      <c r="W41" s="9" t="n">
        <f aca="false">Штат!W28*Штат!$A$28*Рычаги!$B$14</f>
        <v>7500</v>
      </c>
      <c r="X41" s="9" t="n">
        <f aca="false">Штат!X28*Штат!$A$28*Рычаги!$B$14</f>
        <v>7500</v>
      </c>
      <c r="Y41" s="9" t="n">
        <f aca="false">Штат!Y28*Штат!$A$28*Рычаги!$B$14</f>
        <v>7500</v>
      </c>
      <c r="Z41" s="9" t="n">
        <f aca="false">Штат!Z28*Штат!$A$28*Рычаги!$B$14</f>
        <v>7500</v>
      </c>
      <c r="AA41" s="9" t="n">
        <f aca="false">Штат!AA28*Штат!$A$28*Рычаги!$B$14</f>
        <v>7500</v>
      </c>
      <c r="AB41" s="9" t="n">
        <f aca="false">Штат!AB28*Штат!$A$28*Рычаги!$B$14</f>
        <v>7500</v>
      </c>
      <c r="AC41" s="9" t="n">
        <f aca="false">Штат!AC28*Штат!$A$28*Рычаги!$B$14</f>
        <v>7500</v>
      </c>
      <c r="AD41" s="9" t="n">
        <f aca="false">Штат!AD28*Штат!$A$28*Рычаги!$B$14</f>
        <v>7500</v>
      </c>
      <c r="AE41" s="9" t="n">
        <f aca="false">Штат!AE28*Штат!$A$28*Рычаги!$B$14</f>
        <v>7500</v>
      </c>
      <c r="AF41" s="9" t="n">
        <f aca="false">Штат!AF28*Штат!$A$28*Рычаги!$B$14</f>
        <v>7500</v>
      </c>
      <c r="AG41" s="9" t="n">
        <f aca="false">Штат!AG28*Штат!$A$28*Рычаги!$B$14</f>
        <v>7500</v>
      </c>
      <c r="AH41" s="9" t="n">
        <f aca="false">Штат!AH28*Штат!$A$28*Рычаги!$B$14</f>
        <v>7500</v>
      </c>
      <c r="AI41" s="9" t="n">
        <f aca="false">Штат!AI28*Штат!$A$28*Рычаги!$B$14</f>
        <v>7500</v>
      </c>
      <c r="AJ41" s="9" t="n">
        <f aca="false">Штат!AJ28*Штат!$A$28*Рычаги!$B$14</f>
        <v>7500</v>
      </c>
      <c r="AK41" s="9" t="n">
        <f aca="false">Штат!AK28*Штат!$A$28*Рычаги!$B$14</f>
        <v>7500</v>
      </c>
      <c r="AL41" s="9" t="n">
        <f aca="false">Штат!AL28*Штат!$A$28*Рычаги!$B$14</f>
        <v>7500</v>
      </c>
      <c r="AM41" s="9" t="n">
        <f aca="false">SUM(C41:AL41)</f>
        <v>235000</v>
      </c>
    </row>
    <row r="42" customFormat="false" ht="15" hidden="false" customHeight="false" outlineLevel="0" collapsed="false">
      <c r="B42" s="7" t="s">
        <v>81</v>
      </c>
      <c r="C42" s="9" t="n">
        <f aca="false">Штат!C29*Штат!$A$29*Рычаги!$B$14</f>
        <v>0</v>
      </c>
      <c r="D42" s="9" t="n">
        <f aca="false">Штат!D29*Штат!$A$29*Рычаги!$B$14</f>
        <v>0</v>
      </c>
      <c r="E42" s="9" t="n">
        <f aca="false">Штат!E29*Штат!$A$29*Рычаги!$B$14</f>
        <v>2500</v>
      </c>
      <c r="F42" s="9" t="n">
        <f aca="false">Штат!F29*Штат!$A$29*Рычаги!$B$14</f>
        <v>2500</v>
      </c>
      <c r="G42" s="9" t="n">
        <f aca="false">Штат!G29*Штат!$A$29*Рычаги!$B$14</f>
        <v>5000</v>
      </c>
      <c r="H42" s="9" t="n">
        <f aca="false">Штат!H29*Штат!$A$29*Рычаги!$B$14</f>
        <v>5000</v>
      </c>
      <c r="I42" s="9" t="n">
        <f aca="false">Штат!I29*Штат!$A$29*Рычаги!$B$14</f>
        <v>5000</v>
      </c>
      <c r="J42" s="9" t="n">
        <f aca="false">Штат!J29*Штат!$A$29*Рычаги!$B$14</f>
        <v>5000</v>
      </c>
      <c r="K42" s="9" t="n">
        <f aca="false">Штат!K29*Штат!$A$29*Рычаги!$B$14</f>
        <v>7500</v>
      </c>
      <c r="L42" s="9" t="n">
        <f aca="false">Штат!L29*Штат!$A$29*Рычаги!$B$14</f>
        <v>7500</v>
      </c>
      <c r="M42" s="9" t="n">
        <f aca="false">Штат!M29*Штат!$A$29*Рычаги!$B$14</f>
        <v>7500</v>
      </c>
      <c r="N42" s="9" t="n">
        <f aca="false">Штат!N29*Штат!$A$29*Рычаги!$B$14</f>
        <v>7500</v>
      </c>
      <c r="O42" s="9" t="n">
        <f aca="false">Штат!O29*Штат!$A$29*Рычаги!$B$14</f>
        <v>7500</v>
      </c>
      <c r="P42" s="9" t="n">
        <f aca="false">Штат!P29*Штат!$A$29*Рычаги!$B$14</f>
        <v>7500</v>
      </c>
      <c r="Q42" s="9" t="n">
        <f aca="false">Штат!Q29*Штат!$A$29*Рычаги!$B$14</f>
        <v>7500</v>
      </c>
      <c r="R42" s="9" t="n">
        <f aca="false">Штат!R29*Штат!$A$29*Рычаги!$B$14</f>
        <v>7500</v>
      </c>
      <c r="S42" s="9" t="n">
        <f aca="false">Штат!S29*Штат!$A$29*Рычаги!$B$14</f>
        <v>7500</v>
      </c>
      <c r="T42" s="9" t="n">
        <f aca="false">Штат!T29*Штат!$A$29*Рычаги!$B$14</f>
        <v>7500</v>
      </c>
      <c r="U42" s="9" t="n">
        <f aca="false">Штат!U29*Штат!$A$29*Рычаги!$B$14</f>
        <v>7500</v>
      </c>
      <c r="V42" s="9" t="n">
        <f aca="false">Штат!V29*Штат!$A$29*Рычаги!$B$14</f>
        <v>7500</v>
      </c>
      <c r="W42" s="9" t="n">
        <f aca="false">Штат!W29*Штат!$A$29*Рычаги!$B$14</f>
        <v>7500</v>
      </c>
      <c r="X42" s="9" t="n">
        <f aca="false">Штат!X29*Штат!$A$29*Рычаги!$B$14</f>
        <v>7500</v>
      </c>
      <c r="Y42" s="9" t="n">
        <f aca="false">Штат!Y29*Штат!$A$29*Рычаги!$B$14</f>
        <v>10000</v>
      </c>
      <c r="Z42" s="9" t="n">
        <f aca="false">Штат!Z29*Штат!$A$29*Рычаги!$B$14</f>
        <v>10000</v>
      </c>
      <c r="AA42" s="9" t="n">
        <f aca="false">Штат!AA29*Штат!$A$29*Рычаги!$B$14</f>
        <v>10000</v>
      </c>
      <c r="AB42" s="9" t="n">
        <f aca="false">Штат!AB29*Штат!$A$29*Рычаги!$B$14</f>
        <v>10000</v>
      </c>
      <c r="AC42" s="9" t="n">
        <f aca="false">Штат!AC29*Штат!$A$29*Рычаги!$B$14</f>
        <v>10000</v>
      </c>
      <c r="AD42" s="9" t="n">
        <f aca="false">Штат!AD29*Штат!$A$29*Рычаги!$B$14</f>
        <v>10000</v>
      </c>
      <c r="AE42" s="9" t="n">
        <f aca="false">Штат!AE29*Штат!$A$29*Рычаги!$B$14</f>
        <v>10000</v>
      </c>
      <c r="AF42" s="9" t="n">
        <f aca="false">Штат!AF29*Штат!$A$29*Рычаги!$B$14</f>
        <v>10000</v>
      </c>
      <c r="AG42" s="9" t="n">
        <f aca="false">Штат!AG29*Штат!$A$29*Рычаги!$B$14</f>
        <v>10000</v>
      </c>
      <c r="AH42" s="9" t="n">
        <f aca="false">Штат!AH29*Штат!$A$29*Рычаги!$B$14</f>
        <v>12500</v>
      </c>
      <c r="AI42" s="9" t="n">
        <f aca="false">Штат!AI29*Штат!$A$29*Рычаги!$B$14</f>
        <v>12500</v>
      </c>
      <c r="AJ42" s="9" t="n">
        <f aca="false">Штат!AJ29*Штат!$A$29*Рычаги!$B$14</f>
        <v>12500</v>
      </c>
      <c r="AK42" s="9" t="n">
        <f aca="false">Штат!AK29*Штат!$A$29*Рычаги!$B$14</f>
        <v>12500</v>
      </c>
      <c r="AL42" s="9" t="n">
        <f aca="false">Штат!AL29*Штат!$A$29*Рычаги!$B$14</f>
        <v>12500</v>
      </c>
      <c r="AM42" s="9" t="n">
        <f aca="false">SUM(C42:AL42)</f>
        <v>282500</v>
      </c>
    </row>
    <row r="43" customFormat="false" ht="15" hidden="false" customHeight="false" outlineLevel="0" collapsed="false">
      <c r="B43" s="7" t="s">
        <v>82</v>
      </c>
      <c r="C43" s="9" t="n">
        <f aca="false">Штат!C30*Штат!$A$30*Рычаги!$B$14</f>
        <v>0</v>
      </c>
      <c r="D43" s="9" t="n">
        <f aca="false">Штат!D30*Штат!$A$30*Рычаги!$B$14</f>
        <v>0</v>
      </c>
      <c r="E43" s="9" t="n">
        <f aca="false">Штат!E30*Штат!$A$30*Рычаги!$B$14</f>
        <v>0</v>
      </c>
      <c r="F43" s="9" t="n">
        <f aca="false">Штат!F30*Штат!$A$30*Рычаги!$B$14</f>
        <v>5000</v>
      </c>
      <c r="G43" s="9" t="n">
        <f aca="false">Штат!G30*Штат!$A$30*Рычаги!$B$14</f>
        <v>5000</v>
      </c>
      <c r="H43" s="9" t="n">
        <f aca="false">Штат!H30*Штат!$A$30*Рычаги!$B$14</f>
        <v>5000</v>
      </c>
      <c r="I43" s="9" t="n">
        <f aca="false">Штат!I30*Штат!$A$30*Рычаги!$B$14</f>
        <v>5000</v>
      </c>
      <c r="J43" s="9" t="n">
        <f aca="false">Штат!J30*Штат!$A$30*Рычаги!$B$14</f>
        <v>5000</v>
      </c>
      <c r="K43" s="9" t="n">
        <f aca="false">Штат!K30*Штат!$A$30*Рычаги!$B$14</f>
        <v>10000</v>
      </c>
      <c r="L43" s="9" t="n">
        <f aca="false">Штат!L30*Штат!$A$30*Рычаги!$B$14</f>
        <v>10000</v>
      </c>
      <c r="M43" s="9" t="n">
        <f aca="false">Штат!M30*Штат!$A$30*Рычаги!$B$14</f>
        <v>10000</v>
      </c>
      <c r="N43" s="9" t="n">
        <f aca="false">Штат!N30*Штат!$A$30*Рычаги!$B$14</f>
        <v>10000</v>
      </c>
      <c r="O43" s="9" t="n">
        <f aca="false">Штат!O30*Штат!$A$30*Рычаги!$B$14</f>
        <v>10000</v>
      </c>
      <c r="P43" s="9" t="n">
        <f aca="false">Штат!P30*Штат!$A$30*Рычаги!$B$14</f>
        <v>10000</v>
      </c>
      <c r="Q43" s="9" t="n">
        <f aca="false">Штат!Q30*Штат!$A$30*Рычаги!$B$14</f>
        <v>15000</v>
      </c>
      <c r="R43" s="9" t="n">
        <f aca="false">Штат!R30*Штат!$A$30*Рычаги!$B$14</f>
        <v>15000</v>
      </c>
      <c r="S43" s="9" t="n">
        <f aca="false">Штат!S30*Штат!$A$30*Рычаги!$B$14</f>
        <v>15000</v>
      </c>
      <c r="T43" s="9" t="n">
        <f aca="false">Штат!T30*Штат!$A$30*Рычаги!$B$14</f>
        <v>15000</v>
      </c>
      <c r="U43" s="9" t="n">
        <f aca="false">Штат!U30*Штат!$A$30*Рычаги!$B$14</f>
        <v>15000</v>
      </c>
      <c r="V43" s="9" t="n">
        <f aca="false">Штат!V30*Штат!$A$30*Рычаги!$B$14</f>
        <v>15000</v>
      </c>
      <c r="W43" s="9" t="n">
        <f aca="false">Штат!W30*Штат!$A$30*Рычаги!$B$14</f>
        <v>15000</v>
      </c>
      <c r="X43" s="9" t="n">
        <f aca="false">Штат!X30*Штат!$A$30*Рычаги!$B$14</f>
        <v>15000</v>
      </c>
      <c r="Y43" s="9" t="n">
        <f aca="false">Штат!Y30*Штат!$A$30*Рычаги!$B$14</f>
        <v>15000</v>
      </c>
      <c r="Z43" s="9" t="n">
        <f aca="false">Штат!Z30*Штат!$A$30*Рычаги!$B$14</f>
        <v>15000</v>
      </c>
      <c r="AA43" s="9" t="n">
        <f aca="false">Штат!AA30*Штат!$A$30*Рычаги!$B$14</f>
        <v>15000</v>
      </c>
      <c r="AB43" s="9" t="n">
        <f aca="false">Штат!AB30*Штат!$A$30*Рычаги!$B$14</f>
        <v>15000</v>
      </c>
      <c r="AC43" s="9" t="n">
        <f aca="false">Штат!AC30*Штат!$A$30*Рычаги!$B$14</f>
        <v>15000</v>
      </c>
      <c r="AD43" s="9" t="n">
        <f aca="false">Штат!AD30*Штат!$A$30*Рычаги!$B$14</f>
        <v>15000</v>
      </c>
      <c r="AE43" s="9" t="n">
        <f aca="false">Штат!AE30*Штат!$A$30*Рычаги!$B$14</f>
        <v>15000</v>
      </c>
      <c r="AF43" s="9" t="n">
        <f aca="false">Штат!AF30*Штат!$A$30*Рычаги!$B$14</f>
        <v>15000</v>
      </c>
      <c r="AG43" s="9" t="n">
        <f aca="false">Штат!AG30*Штат!$A$30*Рычаги!$B$14</f>
        <v>15000</v>
      </c>
      <c r="AH43" s="9" t="n">
        <f aca="false">Штат!AH30*Штат!$A$30*Рычаги!$B$14</f>
        <v>15000</v>
      </c>
      <c r="AI43" s="9" t="n">
        <f aca="false">Штат!AI30*Штат!$A$30*Рычаги!$B$14</f>
        <v>15000</v>
      </c>
      <c r="AJ43" s="9" t="n">
        <f aca="false">Штат!AJ30*Штат!$A$30*Рычаги!$B$14</f>
        <v>15000</v>
      </c>
      <c r="AK43" s="9" t="n">
        <f aca="false">Штат!AK30*Штат!$A$30*Рычаги!$B$14</f>
        <v>15000</v>
      </c>
      <c r="AL43" s="9" t="n">
        <f aca="false">Штат!AL30*Штат!$A$30*Рычаги!$B$14</f>
        <v>15000</v>
      </c>
      <c r="AM43" s="9" t="n">
        <f aca="false">SUM(C43:AL43)</f>
        <v>415000</v>
      </c>
    </row>
    <row r="44" customFormat="false" ht="15" hidden="false" customHeight="false" outlineLevel="0" collapsed="false">
      <c r="B44" s="7" t="s">
        <v>83</v>
      </c>
      <c r="C44" s="9" t="n">
        <f aca="false">Штат!C31*Штат!$A$31*Рычаги!$B$14</f>
        <v>0</v>
      </c>
      <c r="D44" s="9" t="n">
        <f aca="false">Штат!D31*Штат!$A$31*Рычаги!$B$14</f>
        <v>0</v>
      </c>
      <c r="E44" s="9" t="n">
        <f aca="false">Штат!E31*Штат!$A$31*Рычаги!$B$14</f>
        <v>0</v>
      </c>
      <c r="F44" s="9" t="n">
        <f aca="false">Штат!F31*Штат!$A$31*Рычаги!$B$14</f>
        <v>0</v>
      </c>
      <c r="G44" s="9" t="n">
        <f aca="false">Штат!G31*Штат!$A$31*Рычаги!$B$14</f>
        <v>0</v>
      </c>
      <c r="H44" s="9" t="n">
        <f aca="false">Штат!H31*Штат!$A$31*Рычаги!$B$14</f>
        <v>0</v>
      </c>
      <c r="I44" s="9" t="n">
        <f aca="false">Штат!I31*Штат!$A$31*Рычаги!$B$14</f>
        <v>0</v>
      </c>
      <c r="J44" s="9" t="n">
        <f aca="false">Штат!J31*Штат!$A$31*Рычаги!$B$14</f>
        <v>4000</v>
      </c>
      <c r="K44" s="9" t="n">
        <f aca="false">Штат!K31*Штат!$A$31*Рычаги!$B$14</f>
        <v>4000</v>
      </c>
      <c r="L44" s="9" t="n">
        <f aca="false">Штат!L31*Штат!$A$31*Рычаги!$B$14</f>
        <v>8000</v>
      </c>
      <c r="M44" s="9" t="n">
        <f aca="false">Штат!M31*Штат!$A$31*Рычаги!$B$14</f>
        <v>8000</v>
      </c>
      <c r="N44" s="9" t="n">
        <f aca="false">Штат!N31*Штат!$A$31*Рычаги!$B$14</f>
        <v>8000</v>
      </c>
      <c r="O44" s="9" t="n">
        <f aca="false">Штат!O31*Штат!$A$31*Рычаги!$B$14</f>
        <v>8000</v>
      </c>
      <c r="P44" s="9" t="n">
        <f aca="false">Штат!P31*Штат!$A$31*Рычаги!$B$14</f>
        <v>8000</v>
      </c>
      <c r="Q44" s="9" t="n">
        <f aca="false">Штат!Q31*Штат!$A$31*Рычаги!$B$14</f>
        <v>12000</v>
      </c>
      <c r="R44" s="9" t="n">
        <f aca="false">Штат!R31*Штат!$A$31*Рычаги!$B$14</f>
        <v>12000</v>
      </c>
      <c r="S44" s="9" t="n">
        <f aca="false">Штат!S31*Штат!$A$31*Рычаги!$B$14</f>
        <v>12000</v>
      </c>
      <c r="T44" s="9" t="n">
        <f aca="false">Штат!T31*Штат!$A$31*Рычаги!$B$14</f>
        <v>12000</v>
      </c>
      <c r="U44" s="9" t="n">
        <f aca="false">Штат!U31*Штат!$A$31*Рычаги!$B$14</f>
        <v>12000</v>
      </c>
      <c r="V44" s="9" t="n">
        <f aca="false">Штат!V31*Штат!$A$31*Рычаги!$B$14</f>
        <v>12000</v>
      </c>
      <c r="W44" s="9" t="n">
        <f aca="false">Штат!W31*Штат!$A$31*Рычаги!$B$14</f>
        <v>12000</v>
      </c>
      <c r="X44" s="9" t="n">
        <f aca="false">Штат!X31*Штат!$A$31*Рычаги!$B$14</f>
        <v>12000</v>
      </c>
      <c r="Y44" s="9" t="n">
        <f aca="false">Штат!Y31*Штат!$A$31*Рычаги!$B$14</f>
        <v>12000</v>
      </c>
      <c r="Z44" s="9" t="n">
        <f aca="false">Штат!Z31*Штат!$A$31*Рычаги!$B$14</f>
        <v>12000</v>
      </c>
      <c r="AA44" s="9" t="n">
        <f aca="false">Штат!AA31*Штат!$A$31*Рычаги!$B$14</f>
        <v>12000</v>
      </c>
      <c r="AB44" s="9" t="n">
        <f aca="false">Штат!AB31*Штат!$A$31*Рычаги!$B$14</f>
        <v>12000</v>
      </c>
      <c r="AC44" s="9" t="n">
        <f aca="false">Штат!AC31*Штат!$A$31*Рычаги!$B$14</f>
        <v>12000</v>
      </c>
      <c r="AD44" s="9" t="n">
        <f aca="false">Штат!AD31*Штат!$A$31*Рычаги!$B$14</f>
        <v>12000</v>
      </c>
      <c r="AE44" s="9" t="n">
        <f aca="false">Штат!AE31*Штат!$A$31*Рычаги!$B$14</f>
        <v>12000</v>
      </c>
      <c r="AF44" s="9" t="n">
        <f aca="false">Штат!AF31*Штат!$A$31*Рычаги!$B$14</f>
        <v>12000</v>
      </c>
      <c r="AG44" s="9" t="n">
        <f aca="false">Штат!AG31*Штат!$A$31*Рычаги!$B$14</f>
        <v>12000</v>
      </c>
      <c r="AH44" s="9" t="n">
        <f aca="false">Штат!AH31*Штат!$A$31*Рычаги!$B$14</f>
        <v>12000</v>
      </c>
      <c r="AI44" s="9" t="n">
        <f aca="false">Штат!AI31*Штат!$A$31*Рычаги!$B$14</f>
        <v>12000</v>
      </c>
      <c r="AJ44" s="9" t="n">
        <f aca="false">Штат!AJ31*Штат!$A$31*Рычаги!$B$14</f>
        <v>12000</v>
      </c>
      <c r="AK44" s="9" t="n">
        <f aca="false">Штат!AK31*Штат!$A$31*Рычаги!$B$14</f>
        <v>12000</v>
      </c>
      <c r="AL44" s="9" t="n">
        <f aca="false">Штат!AL31*Штат!$A$31*Рычаги!$B$14</f>
        <v>12000</v>
      </c>
      <c r="AM44" s="9" t="n">
        <f aca="false">SUM(C44:AL44)</f>
        <v>312000</v>
      </c>
    </row>
    <row r="45" customFormat="false" ht="15" hidden="false" customHeight="false" outlineLevel="0" collapsed="false">
      <c r="B45" s="7" t="s">
        <v>84</v>
      </c>
      <c r="C45" s="9" t="n">
        <f aca="false">Штат!C33*Штат!$A$33*Рычаги!$B$14</f>
        <v>0</v>
      </c>
      <c r="D45" s="9" t="n">
        <f aca="false">Штат!D33*Штат!$A$33*Рычаги!$B$14</f>
        <v>0</v>
      </c>
      <c r="E45" s="9" t="n">
        <f aca="false">Штат!E33*Штат!$A$33*Рычаги!$B$14</f>
        <v>5500</v>
      </c>
      <c r="F45" s="9" t="n">
        <f aca="false">Штат!F33*Штат!$A$33*Рычаги!$B$14</f>
        <v>11000</v>
      </c>
      <c r="G45" s="9" t="n">
        <f aca="false">Штат!G33*Штат!$A$33*Рычаги!$B$14</f>
        <v>11000</v>
      </c>
      <c r="H45" s="9" t="n">
        <f aca="false">Штат!H33*Штат!$A$33*Рычаги!$B$14</f>
        <v>16500</v>
      </c>
      <c r="I45" s="9" t="n">
        <f aca="false">Штат!I33*Штат!$A$33*Рычаги!$B$14</f>
        <v>16500</v>
      </c>
      <c r="J45" s="9" t="n">
        <f aca="false">Штат!J33*Штат!$A$33*Рычаги!$B$14</f>
        <v>22000</v>
      </c>
      <c r="K45" s="9" t="n">
        <f aca="false">Штат!K33*Штат!$A$33*Рычаги!$B$14</f>
        <v>22000</v>
      </c>
      <c r="L45" s="9" t="n">
        <f aca="false">Штат!L33*Штат!$A$33*Рычаги!$B$14</f>
        <v>22000</v>
      </c>
      <c r="M45" s="9" t="n">
        <f aca="false">Штат!M33*Штат!$A$33*Рычаги!$B$14</f>
        <v>27500</v>
      </c>
      <c r="N45" s="9" t="n">
        <f aca="false">Штат!N33*Штат!$A$33*Рычаги!$B$14</f>
        <v>27500</v>
      </c>
      <c r="O45" s="9" t="n">
        <f aca="false">Штат!O33*Штат!$A$33*Рычаги!$B$14</f>
        <v>27500</v>
      </c>
      <c r="P45" s="9" t="n">
        <f aca="false">Штат!P33*Штат!$A$33*Рычаги!$B$14</f>
        <v>27500</v>
      </c>
      <c r="Q45" s="9" t="n">
        <f aca="false">Штат!Q33*Штат!$A$33*Рычаги!$B$14</f>
        <v>33000</v>
      </c>
      <c r="R45" s="9" t="n">
        <f aca="false">Штат!R33*Штат!$A$33*Рычаги!$B$14</f>
        <v>33000</v>
      </c>
      <c r="S45" s="9" t="n">
        <f aca="false">Штат!S33*Штат!$A$33*Рычаги!$B$14</f>
        <v>33000</v>
      </c>
      <c r="T45" s="9" t="n">
        <f aca="false">Штат!T33*Штат!$A$33*Рычаги!$B$14</f>
        <v>33000</v>
      </c>
      <c r="U45" s="9" t="n">
        <f aca="false">Штат!U33*Штат!$A$33*Рычаги!$B$14</f>
        <v>33000</v>
      </c>
      <c r="V45" s="9" t="n">
        <f aca="false">Штат!V33*Штат!$A$33*Рычаги!$B$14</f>
        <v>33000</v>
      </c>
      <c r="W45" s="9" t="n">
        <f aca="false">Штат!W33*Штат!$A$33*Рычаги!$B$14</f>
        <v>33000</v>
      </c>
      <c r="X45" s="9" t="n">
        <f aca="false">Штат!X33*Штат!$A$33*Рычаги!$B$14</f>
        <v>33000</v>
      </c>
      <c r="Y45" s="9" t="n">
        <f aca="false">Штат!Y33*Штат!$A$33*Рычаги!$B$14</f>
        <v>33000</v>
      </c>
      <c r="Z45" s="9" t="n">
        <f aca="false">Штат!Z33*Штат!$A$33*Рычаги!$B$14</f>
        <v>33000</v>
      </c>
      <c r="AA45" s="9" t="n">
        <f aca="false">Штат!AA33*Штат!$A$33*Рычаги!$B$14</f>
        <v>33000</v>
      </c>
      <c r="AB45" s="9" t="n">
        <f aca="false">Штат!AB33*Штат!$A$33*Рычаги!$B$14</f>
        <v>33000</v>
      </c>
      <c r="AC45" s="9" t="n">
        <f aca="false">Штат!AC33*Штат!$A$33*Рычаги!$B$14</f>
        <v>38500</v>
      </c>
      <c r="AD45" s="9" t="n">
        <f aca="false">Штат!AD33*Штат!$A$33*Рычаги!$B$14</f>
        <v>38500</v>
      </c>
      <c r="AE45" s="9" t="n">
        <f aca="false">Штат!AE33*Штат!$A$33*Рычаги!$B$14</f>
        <v>38500</v>
      </c>
      <c r="AF45" s="9" t="n">
        <f aca="false">Штат!AF33*Штат!$A$33*Рычаги!$B$14</f>
        <v>38500</v>
      </c>
      <c r="AG45" s="9" t="n">
        <f aca="false">Штат!AG33*Штат!$A$33*Рычаги!$B$14</f>
        <v>38500</v>
      </c>
      <c r="AH45" s="9" t="n">
        <f aca="false">Штат!AH33*Штат!$A$33*Рычаги!$B$14</f>
        <v>38500</v>
      </c>
      <c r="AI45" s="9" t="n">
        <f aca="false">Штат!AI33*Штат!$A$33*Рычаги!$B$14</f>
        <v>38500</v>
      </c>
      <c r="AJ45" s="9" t="n">
        <f aca="false">Штат!AJ33*Штат!$A$33*Рычаги!$B$14</f>
        <v>38500</v>
      </c>
      <c r="AK45" s="9" t="n">
        <f aca="false">Штат!AK33*Штат!$A$33*Рычаги!$B$14</f>
        <v>38500</v>
      </c>
      <c r="AL45" s="9" t="n">
        <f aca="false">Штат!AL33*Штат!$A$33*Рычаги!$B$14</f>
        <v>38500</v>
      </c>
      <c r="AM45" s="9" t="n">
        <f aca="false">SUM(C45:AL45)</f>
        <v>1017500</v>
      </c>
    </row>
    <row r="46" customFormat="false" ht="15" hidden="false" customHeight="false" outlineLevel="0" collapsed="false">
      <c r="B46" s="7" t="s">
        <v>85</v>
      </c>
      <c r="C46" s="9" t="n">
        <f aca="false">Штат!C34*Штат!$A$34*Рычаги!$B$14</f>
        <v>0</v>
      </c>
      <c r="D46" s="9" t="n">
        <f aca="false">Штат!D34*Штат!$A$34*Рычаги!$B$14</f>
        <v>0</v>
      </c>
      <c r="E46" s="9" t="n">
        <f aca="false">Штат!E34*Штат!$A$34*Рычаги!$B$14</f>
        <v>0</v>
      </c>
      <c r="F46" s="9" t="n">
        <f aca="false">Штат!F34*Штат!$A$34*Рычаги!$B$14</f>
        <v>4500</v>
      </c>
      <c r="G46" s="9" t="n">
        <f aca="false">Штат!G34*Штат!$A$34*Рычаги!$B$14</f>
        <v>4500</v>
      </c>
      <c r="H46" s="9" t="n">
        <f aca="false">Штат!H34*Штат!$A$34*Рычаги!$B$14</f>
        <v>4500</v>
      </c>
      <c r="I46" s="9" t="n">
        <f aca="false">Штат!I34*Штат!$A$34*Рычаги!$B$14</f>
        <v>4500</v>
      </c>
      <c r="J46" s="9" t="n">
        <f aca="false">Штат!J34*Штат!$A$34*Рычаги!$B$14</f>
        <v>4500</v>
      </c>
      <c r="K46" s="9" t="n">
        <f aca="false">Штат!K34*Штат!$A$34*Рычаги!$B$14</f>
        <v>9000</v>
      </c>
      <c r="L46" s="9" t="n">
        <f aca="false">Штат!L34*Штат!$A$34*Рычаги!$B$14</f>
        <v>9000</v>
      </c>
      <c r="M46" s="9" t="n">
        <f aca="false">Штат!M34*Штат!$A$34*Рычаги!$B$14</f>
        <v>9000</v>
      </c>
      <c r="N46" s="9" t="n">
        <f aca="false">Штат!N34*Штат!$A$34*Рычаги!$B$14</f>
        <v>9000</v>
      </c>
      <c r="O46" s="9" t="n">
        <f aca="false">Штат!O34*Штат!$A$34*Рычаги!$B$14</f>
        <v>9000</v>
      </c>
      <c r="P46" s="9" t="n">
        <f aca="false">Штат!P34*Штат!$A$34*Рычаги!$B$14</f>
        <v>9000</v>
      </c>
      <c r="Q46" s="9" t="n">
        <f aca="false">Штат!Q34*Штат!$A$34*Рычаги!$B$14</f>
        <v>13500</v>
      </c>
      <c r="R46" s="9" t="n">
        <f aca="false">Штат!R34*Штат!$A$34*Рычаги!$B$14</f>
        <v>13500</v>
      </c>
      <c r="S46" s="9" t="n">
        <f aca="false">Штат!S34*Штат!$A$34*Рычаги!$B$14</f>
        <v>13500</v>
      </c>
      <c r="T46" s="9" t="n">
        <f aca="false">Штат!T34*Штат!$A$34*Рычаги!$B$14</f>
        <v>13500</v>
      </c>
      <c r="U46" s="9" t="n">
        <f aca="false">Штат!U34*Штат!$A$34*Рычаги!$B$14</f>
        <v>13500</v>
      </c>
      <c r="V46" s="9" t="n">
        <f aca="false">Штат!V34*Штат!$A$34*Рычаги!$B$14</f>
        <v>13500</v>
      </c>
      <c r="W46" s="9" t="n">
        <f aca="false">Штат!W34*Штат!$A$34*Рычаги!$B$14</f>
        <v>13500</v>
      </c>
      <c r="X46" s="9" t="n">
        <f aca="false">Штат!X34*Штат!$A$34*Рычаги!$B$14</f>
        <v>13500</v>
      </c>
      <c r="Y46" s="9" t="n">
        <f aca="false">Штат!Y34*Штат!$A$34*Рычаги!$B$14</f>
        <v>13500</v>
      </c>
      <c r="Z46" s="9" t="n">
        <f aca="false">Штат!Z34*Штат!$A$34*Рычаги!$B$14</f>
        <v>13500</v>
      </c>
      <c r="AA46" s="9" t="n">
        <f aca="false">Штат!AA34*Штат!$A$34*Рычаги!$B$14</f>
        <v>13500</v>
      </c>
      <c r="AB46" s="9" t="n">
        <f aca="false">Штат!AB34*Штат!$A$34*Рычаги!$B$14</f>
        <v>13500</v>
      </c>
      <c r="AC46" s="9" t="n">
        <f aca="false">Штат!AC34*Штат!$A$34*Рычаги!$B$14</f>
        <v>13500</v>
      </c>
      <c r="AD46" s="9" t="n">
        <f aca="false">Штат!AD34*Штат!$A$34*Рычаги!$B$14</f>
        <v>13500</v>
      </c>
      <c r="AE46" s="9" t="n">
        <f aca="false">Штат!AE34*Штат!$A$34*Рычаги!$B$14</f>
        <v>13500</v>
      </c>
      <c r="AF46" s="9" t="n">
        <f aca="false">Штат!AF34*Штат!$A$34*Рычаги!$B$14</f>
        <v>13500</v>
      </c>
      <c r="AG46" s="9" t="n">
        <f aca="false">Штат!AG34*Штат!$A$34*Рычаги!$B$14</f>
        <v>13500</v>
      </c>
      <c r="AH46" s="9" t="n">
        <f aca="false">Штат!AH34*Штат!$A$34*Рычаги!$B$14</f>
        <v>13500</v>
      </c>
      <c r="AI46" s="9" t="n">
        <f aca="false">Штат!AI34*Штат!$A$34*Рычаги!$B$14</f>
        <v>13500</v>
      </c>
      <c r="AJ46" s="9" t="n">
        <f aca="false">Штат!AJ34*Штат!$A$34*Рычаги!$B$14</f>
        <v>13500</v>
      </c>
      <c r="AK46" s="9" t="n">
        <f aca="false">Штат!AK34*Штат!$A$34*Рычаги!$B$14</f>
        <v>13500</v>
      </c>
      <c r="AL46" s="9" t="n">
        <f aca="false">Штат!AL34*Штат!$A$34*Рычаги!$B$14</f>
        <v>13500</v>
      </c>
      <c r="AM46" s="9" t="n">
        <f aca="false">SUM(C46:AL46)</f>
        <v>373500</v>
      </c>
    </row>
    <row r="47" customFormat="false" ht="15" hidden="false" customHeight="false" outlineLevel="0" collapsed="false">
      <c r="B47" s="7" t="s">
        <v>86</v>
      </c>
      <c r="C47" s="9" t="n">
        <f aca="false">Штат!C35*Штат!$A$35*Рычаги!$B$14</f>
        <v>0</v>
      </c>
      <c r="D47" s="9" t="n">
        <f aca="false">Штат!D35*Штат!$A$35*Рычаги!$B$14</f>
        <v>0</v>
      </c>
      <c r="E47" s="9" t="n">
        <f aca="false">Штат!E35*Штат!$A$35*Рычаги!$B$14</f>
        <v>0</v>
      </c>
      <c r="F47" s="9" t="n">
        <f aca="false">Штат!F35*Штат!$A$35*Рычаги!$B$14</f>
        <v>0</v>
      </c>
      <c r="G47" s="9" t="n">
        <f aca="false">Штат!G35*Штат!$A$35*Рычаги!$B$14</f>
        <v>0</v>
      </c>
      <c r="H47" s="9" t="n">
        <f aca="false">Штат!H35*Штат!$A$35*Рычаги!$B$14</f>
        <v>0</v>
      </c>
      <c r="I47" s="9" t="n">
        <f aca="false">Штат!I35*Штат!$A$35*Рычаги!$B$14</f>
        <v>0</v>
      </c>
      <c r="J47" s="9" t="n">
        <f aca="false">Штат!J35*Штат!$A$35*Рычаги!$B$14</f>
        <v>0</v>
      </c>
      <c r="K47" s="9" t="n">
        <f aca="false">Штат!K35*Штат!$A$35*Рычаги!$B$14</f>
        <v>2500</v>
      </c>
      <c r="L47" s="9" t="n">
        <f aca="false">Штат!L35*Штат!$A$35*Рычаги!$B$14</f>
        <v>2500</v>
      </c>
      <c r="M47" s="9" t="n">
        <f aca="false">Штат!M35*Штат!$A$35*Рычаги!$B$14</f>
        <v>2500</v>
      </c>
      <c r="N47" s="9" t="n">
        <f aca="false">Штат!N35*Штат!$A$35*Рычаги!$B$14</f>
        <v>2500</v>
      </c>
      <c r="O47" s="9" t="n">
        <f aca="false">Штат!O35*Штат!$A$35*Рычаги!$B$14</f>
        <v>2500</v>
      </c>
      <c r="P47" s="9" t="n">
        <f aca="false">Штат!P35*Штат!$A$35*Рычаги!$B$14</f>
        <v>2500</v>
      </c>
      <c r="Q47" s="9" t="n">
        <f aca="false">Штат!Q35*Штат!$A$35*Рычаги!$B$14</f>
        <v>5000</v>
      </c>
      <c r="R47" s="9" t="n">
        <f aca="false">Штат!R35*Штат!$A$35*Рычаги!$B$14</f>
        <v>5000</v>
      </c>
      <c r="S47" s="9" t="n">
        <f aca="false">Штат!S35*Штат!$A$35*Рычаги!$B$14</f>
        <v>5000</v>
      </c>
      <c r="T47" s="9" t="n">
        <f aca="false">Штат!T35*Штат!$A$35*Рычаги!$B$14</f>
        <v>5000</v>
      </c>
      <c r="U47" s="9" t="n">
        <f aca="false">Штат!U35*Штат!$A$35*Рычаги!$B$14</f>
        <v>5000</v>
      </c>
      <c r="V47" s="9" t="n">
        <f aca="false">Штат!V35*Штат!$A$35*Рычаги!$B$14</f>
        <v>5000</v>
      </c>
      <c r="W47" s="9" t="n">
        <f aca="false">Штат!W35*Штат!$A$35*Рычаги!$B$14</f>
        <v>5000</v>
      </c>
      <c r="X47" s="9" t="n">
        <f aca="false">Штат!X35*Штат!$A$35*Рычаги!$B$14</f>
        <v>5000</v>
      </c>
      <c r="Y47" s="9" t="n">
        <f aca="false">Штат!Y35*Штат!$A$35*Рычаги!$B$14</f>
        <v>7500</v>
      </c>
      <c r="Z47" s="9" t="n">
        <f aca="false">Штат!Z35*Штат!$A$35*Рычаги!$B$14</f>
        <v>7500</v>
      </c>
      <c r="AA47" s="9" t="n">
        <f aca="false">Штат!AA35*Штат!$A$35*Рычаги!$B$14</f>
        <v>7500</v>
      </c>
      <c r="AB47" s="9" t="n">
        <f aca="false">Штат!AB35*Штат!$A$35*Рычаги!$B$14</f>
        <v>7500</v>
      </c>
      <c r="AC47" s="9" t="n">
        <f aca="false">Штат!AC35*Штат!$A$35*Рычаги!$B$14</f>
        <v>7500</v>
      </c>
      <c r="AD47" s="9" t="n">
        <f aca="false">Штат!AD35*Штат!$A$35*Рычаги!$B$14</f>
        <v>7500</v>
      </c>
      <c r="AE47" s="9" t="n">
        <f aca="false">Штат!AE35*Штат!$A$35*Рычаги!$B$14</f>
        <v>7500</v>
      </c>
      <c r="AF47" s="9" t="n">
        <f aca="false">Штат!AF35*Штат!$A$35*Рычаги!$B$14</f>
        <v>7500</v>
      </c>
      <c r="AG47" s="9" t="n">
        <f aca="false">Штат!AG35*Штат!$A$35*Рычаги!$B$14</f>
        <v>7500</v>
      </c>
      <c r="AH47" s="9" t="n">
        <f aca="false">Штат!AH35*Штат!$A$35*Рычаги!$B$14</f>
        <v>10000</v>
      </c>
      <c r="AI47" s="9" t="n">
        <f aca="false">Штат!AI35*Штат!$A$35*Рычаги!$B$14</f>
        <v>10000</v>
      </c>
      <c r="AJ47" s="9" t="n">
        <f aca="false">Штат!AJ35*Штат!$A$35*Рычаги!$B$14</f>
        <v>10000</v>
      </c>
      <c r="AK47" s="9" t="n">
        <f aca="false">Штат!AK35*Штат!$A$35*Рычаги!$B$14</f>
        <v>10000</v>
      </c>
      <c r="AL47" s="9" t="n">
        <f aca="false">Штат!AL35*Штат!$A$35*Рычаги!$B$14</f>
        <v>10000</v>
      </c>
      <c r="AM47" s="9" t="n">
        <f aca="false">SUM(C47:AL47)</f>
        <v>172500</v>
      </c>
    </row>
    <row r="48" customFormat="false" ht="15" hidden="false" customHeight="false" outlineLevel="0" collapsed="false">
      <c r="B48" s="7" t="s">
        <v>87</v>
      </c>
      <c r="C48" s="9" t="n">
        <f aca="false">Штат!C37*Штат!$A$37*Рычаги!$B$14</f>
        <v>0</v>
      </c>
      <c r="D48" s="9" t="n">
        <f aca="false">Штат!D37*Штат!$A$37*Рычаги!$B$14</f>
        <v>0</v>
      </c>
      <c r="E48" s="9" t="n">
        <f aca="false">Штат!E37*Штат!$A$37*Рычаги!$B$14</f>
        <v>4000</v>
      </c>
      <c r="F48" s="9" t="n">
        <f aca="false">Штат!F37*Штат!$A$37*Рычаги!$B$14</f>
        <v>4000</v>
      </c>
      <c r="G48" s="9" t="n">
        <f aca="false">Штат!G37*Штат!$A$37*Рычаги!$B$14</f>
        <v>8000</v>
      </c>
      <c r="H48" s="9" t="n">
        <f aca="false">Штат!H37*Штат!$A$37*Рычаги!$B$14</f>
        <v>8000</v>
      </c>
      <c r="I48" s="9" t="n">
        <f aca="false">Штат!I37*Штат!$A$37*Рычаги!$B$14</f>
        <v>8000</v>
      </c>
      <c r="J48" s="9" t="n">
        <f aca="false">Штат!J37*Штат!$A$37*Рычаги!$B$14</f>
        <v>8000</v>
      </c>
      <c r="K48" s="9" t="n">
        <f aca="false">Штат!K37*Штат!$A$37*Рычаги!$B$14</f>
        <v>12000</v>
      </c>
      <c r="L48" s="9" t="n">
        <f aca="false">Штат!L37*Штат!$A$37*Рычаги!$B$14</f>
        <v>12000</v>
      </c>
      <c r="M48" s="9" t="n">
        <f aca="false">Штат!M37*Штат!$A$37*Рычаги!$B$14</f>
        <v>12000</v>
      </c>
      <c r="N48" s="9" t="n">
        <f aca="false">Штат!N37*Штат!$A$37*Рычаги!$B$14</f>
        <v>12000</v>
      </c>
      <c r="O48" s="9" t="n">
        <f aca="false">Штат!O37*Штат!$A$37*Рычаги!$B$14</f>
        <v>12000</v>
      </c>
      <c r="P48" s="9" t="n">
        <f aca="false">Штат!P37*Штат!$A$37*Рычаги!$B$14</f>
        <v>12000</v>
      </c>
      <c r="Q48" s="9" t="n">
        <f aca="false">Штат!Q37*Штат!$A$37*Рычаги!$B$14</f>
        <v>12000</v>
      </c>
      <c r="R48" s="9" t="n">
        <f aca="false">Штат!R37*Штат!$A$37*Рычаги!$B$14</f>
        <v>12000</v>
      </c>
      <c r="S48" s="9" t="n">
        <f aca="false">Штат!S37*Штат!$A$37*Рычаги!$B$14</f>
        <v>12000</v>
      </c>
      <c r="T48" s="9" t="n">
        <f aca="false">Штат!T37*Штат!$A$37*Рычаги!$B$14</f>
        <v>12000</v>
      </c>
      <c r="U48" s="9" t="n">
        <f aca="false">Штат!U37*Штат!$A$37*Рычаги!$B$14</f>
        <v>12000</v>
      </c>
      <c r="V48" s="9" t="n">
        <f aca="false">Штат!V37*Штат!$A$37*Рычаги!$B$14</f>
        <v>12000</v>
      </c>
      <c r="W48" s="9" t="n">
        <f aca="false">Штат!W37*Штат!$A$37*Рычаги!$B$14</f>
        <v>12000</v>
      </c>
      <c r="X48" s="9" t="n">
        <f aca="false">Штат!X37*Штат!$A$37*Рычаги!$B$14</f>
        <v>12000</v>
      </c>
      <c r="Y48" s="9" t="n">
        <f aca="false">Штат!Y37*Штат!$A$37*Рычаги!$B$14</f>
        <v>12000</v>
      </c>
      <c r="Z48" s="9" t="n">
        <f aca="false">Штат!Z37*Штат!$A$37*Рычаги!$B$14</f>
        <v>12000</v>
      </c>
      <c r="AA48" s="9" t="n">
        <f aca="false">Штат!AA37*Штат!$A$37*Рычаги!$B$14</f>
        <v>12000</v>
      </c>
      <c r="AB48" s="9" t="n">
        <f aca="false">Штат!AB37*Штат!$A$37*Рычаги!$B$14</f>
        <v>12000</v>
      </c>
      <c r="AC48" s="9" t="n">
        <f aca="false">Штат!AC37*Штат!$A$37*Рычаги!$B$14</f>
        <v>16000</v>
      </c>
      <c r="AD48" s="9" t="n">
        <f aca="false">Штат!AD37*Штат!$A$37*Рычаги!$B$14</f>
        <v>16000</v>
      </c>
      <c r="AE48" s="9" t="n">
        <f aca="false">Штат!AE37*Штат!$A$37*Рычаги!$B$14</f>
        <v>16000</v>
      </c>
      <c r="AF48" s="9" t="n">
        <f aca="false">Штат!AF37*Штат!$A$37*Рычаги!$B$14</f>
        <v>16000</v>
      </c>
      <c r="AG48" s="9" t="n">
        <f aca="false">Штат!AG37*Штат!$A$37*Рычаги!$B$14</f>
        <v>16000</v>
      </c>
      <c r="AH48" s="9" t="n">
        <f aca="false">Штат!AH37*Штат!$A$37*Рычаги!$B$14</f>
        <v>16000</v>
      </c>
      <c r="AI48" s="9" t="n">
        <f aca="false">Штат!AI37*Штат!$A$37*Рычаги!$B$14</f>
        <v>16000</v>
      </c>
      <c r="AJ48" s="9" t="n">
        <f aca="false">Штат!AJ37*Штат!$A$37*Рычаги!$B$14</f>
        <v>16000</v>
      </c>
      <c r="AK48" s="9" t="n">
        <f aca="false">Штат!AK37*Штат!$A$37*Рычаги!$B$14</f>
        <v>16000</v>
      </c>
      <c r="AL48" s="9" t="n">
        <f aca="false">Штат!AL37*Штат!$A$37*Рычаги!$B$14</f>
        <v>16000</v>
      </c>
      <c r="AM48" s="9" t="n">
        <f aca="false">SUM(C48:AL48)</f>
        <v>416000</v>
      </c>
    </row>
    <row r="49" customFormat="false" ht="15" hidden="false" customHeight="false" outlineLevel="0" collapsed="false">
      <c r="B49" s="7" t="s">
        <v>88</v>
      </c>
      <c r="C49" s="9" t="n">
        <f aca="false">Штат!C38*Штат!$A$38*Рычаги!$B$14</f>
        <v>0</v>
      </c>
      <c r="D49" s="9" t="n">
        <f aca="false">Штат!D38*Штат!$A$38*Рычаги!$B$14</f>
        <v>0</v>
      </c>
      <c r="E49" s="9" t="n">
        <f aca="false">Штат!E38*Штат!$A$38*Рычаги!$B$14</f>
        <v>0</v>
      </c>
      <c r="F49" s="9" t="n">
        <f aca="false">Штат!F38*Штат!$A$38*Рычаги!$B$14</f>
        <v>0</v>
      </c>
      <c r="G49" s="9" t="n">
        <f aca="false">Штат!G38*Штат!$A$38*Рычаги!$B$14</f>
        <v>0</v>
      </c>
      <c r="H49" s="9" t="n">
        <f aca="false">Штат!H38*Штат!$A$38*Рычаги!$B$14</f>
        <v>6000</v>
      </c>
      <c r="I49" s="9" t="n">
        <f aca="false">Штат!I38*Штат!$A$38*Рычаги!$B$14</f>
        <v>6000</v>
      </c>
      <c r="J49" s="9" t="n">
        <f aca="false">Штат!J38*Штат!$A$38*Рычаги!$B$14</f>
        <v>6000</v>
      </c>
      <c r="K49" s="9" t="n">
        <f aca="false">Штат!K38*Штат!$A$38*Рычаги!$B$14</f>
        <v>6000</v>
      </c>
      <c r="L49" s="9" t="n">
        <f aca="false">Штат!L38*Штат!$A$38*Рычаги!$B$14</f>
        <v>6000</v>
      </c>
      <c r="M49" s="9" t="n">
        <f aca="false">Штат!M38*Штат!$A$38*Рычаги!$B$14</f>
        <v>6000</v>
      </c>
      <c r="N49" s="9" t="n">
        <f aca="false">Штат!N38*Штат!$A$38*Рычаги!$B$14</f>
        <v>12000</v>
      </c>
      <c r="O49" s="9" t="n">
        <f aca="false">Штат!O38*Штат!$A$38*Рычаги!$B$14</f>
        <v>12000</v>
      </c>
      <c r="P49" s="9" t="n">
        <f aca="false">Штат!P38*Штат!$A$38*Рычаги!$B$14</f>
        <v>12000</v>
      </c>
      <c r="Q49" s="9" t="n">
        <f aca="false">Штат!Q38*Штат!$A$38*Рычаги!$B$14</f>
        <v>12000</v>
      </c>
      <c r="R49" s="9" t="n">
        <f aca="false">Штат!R38*Штат!$A$38*Рычаги!$B$14</f>
        <v>12000</v>
      </c>
      <c r="S49" s="9" t="n">
        <f aca="false">Штат!S38*Штат!$A$38*Рычаги!$B$14</f>
        <v>12000</v>
      </c>
      <c r="T49" s="9" t="n">
        <f aca="false">Штат!T38*Штат!$A$38*Рычаги!$B$14</f>
        <v>12000</v>
      </c>
      <c r="U49" s="9" t="n">
        <f aca="false">Штат!U38*Штат!$A$38*Рычаги!$B$14</f>
        <v>12000</v>
      </c>
      <c r="V49" s="9" t="n">
        <f aca="false">Штат!V38*Штат!$A$38*Рычаги!$B$14</f>
        <v>12000</v>
      </c>
      <c r="W49" s="9" t="n">
        <f aca="false">Штат!W38*Штат!$A$38*Рычаги!$B$14</f>
        <v>12000</v>
      </c>
      <c r="X49" s="9" t="n">
        <f aca="false">Штат!X38*Штат!$A$38*Рычаги!$B$14</f>
        <v>12000</v>
      </c>
      <c r="Y49" s="9" t="n">
        <f aca="false">Штат!Y38*Штат!$A$38*Рычаги!$B$14</f>
        <v>12000</v>
      </c>
      <c r="Z49" s="9" t="n">
        <f aca="false">Штат!Z38*Штат!$A$38*Рычаги!$B$14</f>
        <v>12000</v>
      </c>
      <c r="AA49" s="9" t="n">
        <f aca="false">Штат!AA38*Штат!$A$38*Рычаги!$B$14</f>
        <v>12000</v>
      </c>
      <c r="AB49" s="9" t="n">
        <f aca="false">Штат!AB38*Штат!$A$38*Рычаги!$B$14</f>
        <v>12000</v>
      </c>
      <c r="AC49" s="9" t="n">
        <f aca="false">Штат!AC38*Штат!$A$38*Рычаги!$B$14</f>
        <v>12000</v>
      </c>
      <c r="AD49" s="9" t="n">
        <f aca="false">Штат!AD38*Штат!$A$38*Рычаги!$B$14</f>
        <v>12000</v>
      </c>
      <c r="AE49" s="9" t="n">
        <f aca="false">Штат!AE38*Штат!$A$38*Рычаги!$B$14</f>
        <v>12000</v>
      </c>
      <c r="AF49" s="9" t="n">
        <f aca="false">Штат!AF38*Штат!$A$38*Рычаги!$B$14</f>
        <v>12000</v>
      </c>
      <c r="AG49" s="9" t="n">
        <f aca="false">Штат!AG38*Штат!$A$38*Рычаги!$B$14</f>
        <v>12000</v>
      </c>
      <c r="AH49" s="9" t="n">
        <f aca="false">Штат!AH38*Штат!$A$38*Рычаги!$B$14</f>
        <v>12000</v>
      </c>
      <c r="AI49" s="9" t="n">
        <f aca="false">Штат!AI38*Штат!$A$38*Рычаги!$B$14</f>
        <v>12000</v>
      </c>
      <c r="AJ49" s="9" t="n">
        <f aca="false">Штат!AJ38*Штат!$A$38*Рычаги!$B$14</f>
        <v>12000</v>
      </c>
      <c r="AK49" s="9" t="n">
        <f aca="false">Штат!AK38*Штат!$A$38*Рычаги!$B$14</f>
        <v>12000</v>
      </c>
      <c r="AL49" s="9" t="n">
        <f aca="false">Штат!AL38*Штат!$A$38*Рычаги!$B$14</f>
        <v>12000</v>
      </c>
      <c r="AM49" s="9" t="n">
        <f aca="false">SUM(C49:AL49)</f>
        <v>336000</v>
      </c>
    </row>
    <row r="50" customFormat="false" ht="15" hidden="false" customHeight="false" outlineLevel="0" collapsed="false">
      <c r="B50" s="7" t="s">
        <v>89</v>
      </c>
      <c r="C50" s="9" t="n">
        <f aca="false">Штат!C39*Штат!$A$39*Рычаги!$B$14</f>
        <v>0</v>
      </c>
      <c r="D50" s="9" t="n">
        <f aca="false">Штат!D39*Штат!$A$39*Рычаги!$B$14</f>
        <v>3000</v>
      </c>
      <c r="E50" s="9" t="n">
        <f aca="false">Штат!E39*Штат!$A$39*Рычаги!$B$14</f>
        <v>6000</v>
      </c>
      <c r="F50" s="9" t="n">
        <f aca="false">Штат!F39*Штат!$A$39*Рычаги!$B$14</f>
        <v>6000</v>
      </c>
      <c r="G50" s="9" t="n">
        <f aca="false">Штат!G39*Штат!$A$39*Рычаги!$B$14</f>
        <v>9000</v>
      </c>
      <c r="H50" s="9" t="n">
        <f aca="false">Штат!H39*Штат!$A$39*Рычаги!$B$14</f>
        <v>9000</v>
      </c>
      <c r="I50" s="9" t="n">
        <f aca="false">Штат!I39*Штат!$A$39*Рычаги!$B$14</f>
        <v>9000</v>
      </c>
      <c r="J50" s="9" t="n">
        <f aca="false">Штат!J39*Штат!$A$39*Рычаги!$B$14</f>
        <v>9000</v>
      </c>
      <c r="K50" s="9" t="n">
        <f aca="false">Штат!K39*Штат!$A$39*Рычаги!$B$14</f>
        <v>9000</v>
      </c>
      <c r="L50" s="9" t="n">
        <f aca="false">Штат!L39*Штат!$A$39*Рычаги!$B$14</f>
        <v>9000</v>
      </c>
      <c r="M50" s="9" t="n">
        <f aca="false">Штат!M39*Штат!$A$39*Рычаги!$B$14</f>
        <v>9000</v>
      </c>
      <c r="N50" s="9" t="n">
        <f aca="false">Штат!N39*Штат!$A$39*Рычаги!$B$14</f>
        <v>9000</v>
      </c>
      <c r="O50" s="9" t="n">
        <f aca="false">Штат!O39*Штат!$A$39*Рычаги!$B$14</f>
        <v>9000</v>
      </c>
      <c r="P50" s="9" t="n">
        <f aca="false">Штат!P39*Штат!$A$39*Рычаги!$B$14</f>
        <v>9000</v>
      </c>
      <c r="Q50" s="9" t="n">
        <f aca="false">Штат!Q39*Штат!$A$39*Рычаги!$B$14</f>
        <v>9000</v>
      </c>
      <c r="R50" s="9" t="n">
        <f aca="false">Штат!R39*Штат!$A$39*Рычаги!$B$14</f>
        <v>6000</v>
      </c>
      <c r="S50" s="9" t="n">
        <f aca="false">Штат!S39*Штат!$A$39*Рычаги!$B$14</f>
        <v>6000</v>
      </c>
      <c r="T50" s="9" t="n">
        <f aca="false">Штат!T39*Штат!$A$39*Рычаги!$B$14</f>
        <v>6000</v>
      </c>
      <c r="U50" s="9" t="n">
        <f aca="false">Штат!U39*Штат!$A$39*Рычаги!$B$14</f>
        <v>6000</v>
      </c>
      <c r="V50" s="9" t="n">
        <f aca="false">Штат!V39*Штат!$A$39*Рычаги!$B$14</f>
        <v>6000</v>
      </c>
      <c r="W50" s="9" t="n">
        <f aca="false">Штат!W39*Штат!$A$39*Рычаги!$B$14</f>
        <v>6000</v>
      </c>
      <c r="X50" s="9" t="n">
        <f aca="false">Штат!X39*Штат!$A$39*Рычаги!$B$14</f>
        <v>6000</v>
      </c>
      <c r="Y50" s="9" t="n">
        <f aca="false">Штат!Y39*Штат!$A$39*Рычаги!$B$14</f>
        <v>6000</v>
      </c>
      <c r="Z50" s="9" t="n">
        <f aca="false">Штат!Z39*Штат!$A$39*Рычаги!$B$14</f>
        <v>6000</v>
      </c>
      <c r="AA50" s="9" t="n">
        <f aca="false">Штат!AA39*Штат!$A$39*Рычаги!$B$14</f>
        <v>6000</v>
      </c>
      <c r="AB50" s="9" t="n">
        <f aca="false">Штат!AB39*Штат!$A$39*Рычаги!$B$14</f>
        <v>6000</v>
      </c>
      <c r="AC50" s="9" t="n">
        <f aca="false">Штат!AC39*Штат!$A$39*Рычаги!$B$14</f>
        <v>6000</v>
      </c>
      <c r="AD50" s="9" t="n">
        <f aca="false">Штат!AD39*Штат!$A$39*Рычаги!$B$14</f>
        <v>6000</v>
      </c>
      <c r="AE50" s="9" t="n">
        <f aca="false">Штат!AE39*Штат!$A$39*Рычаги!$B$14</f>
        <v>6000</v>
      </c>
      <c r="AF50" s="9" t="n">
        <f aca="false">Штат!AF39*Штат!$A$39*Рычаги!$B$14</f>
        <v>6000</v>
      </c>
      <c r="AG50" s="9" t="n">
        <f aca="false">Штат!AG39*Штат!$A$39*Рычаги!$B$14</f>
        <v>6000</v>
      </c>
      <c r="AH50" s="9" t="n">
        <f aca="false">Штат!AH39*Штат!$A$39*Рычаги!$B$14</f>
        <v>6000</v>
      </c>
      <c r="AI50" s="9" t="n">
        <f aca="false">Штат!AI39*Штат!$A$39*Рычаги!$B$14</f>
        <v>6000</v>
      </c>
      <c r="AJ50" s="9" t="n">
        <f aca="false">Штат!AJ39*Штат!$A$39*Рычаги!$B$14</f>
        <v>6000</v>
      </c>
      <c r="AK50" s="9" t="n">
        <f aca="false">Штат!AK39*Штат!$A$39*Рычаги!$B$14</f>
        <v>6000</v>
      </c>
      <c r="AL50" s="9" t="n">
        <f aca="false">Штат!AL39*Штат!$A$39*Рычаги!$B$14</f>
        <v>6000</v>
      </c>
      <c r="AM50" s="9" t="n">
        <f aca="false">SUM(C50:AL50)</f>
        <v>240000</v>
      </c>
    </row>
    <row r="51" customFormat="false" ht="15" hidden="false" customHeight="false" outlineLevel="0" collapsed="false">
      <c r="B51" s="7" t="s">
        <v>90</v>
      </c>
      <c r="C51" s="9" t="n">
        <f aca="false">Штат!C40*Штат!$A$40*Рычаги!$B$14</f>
        <v>0</v>
      </c>
      <c r="D51" s="9" t="n">
        <f aca="false">Штат!D40*Штат!$A$40*Рычаги!$B$14</f>
        <v>0</v>
      </c>
      <c r="E51" s="9" t="n">
        <f aca="false">Штат!E40*Штат!$A$40*Рычаги!$B$14</f>
        <v>0</v>
      </c>
      <c r="F51" s="9" t="n">
        <f aca="false">Штат!F40*Штат!$A$40*Рычаги!$B$14</f>
        <v>4000</v>
      </c>
      <c r="G51" s="9" t="n">
        <f aca="false">Штат!G40*Штат!$A$40*Рычаги!$B$14</f>
        <v>4000</v>
      </c>
      <c r="H51" s="9" t="n">
        <f aca="false">Штат!H40*Штат!$A$40*Рычаги!$B$14</f>
        <v>4000</v>
      </c>
      <c r="I51" s="9" t="n">
        <f aca="false">Штат!I40*Штат!$A$40*Рычаги!$B$14</f>
        <v>4000</v>
      </c>
      <c r="J51" s="9" t="n">
        <f aca="false">Штат!J40*Штат!$A$40*Рычаги!$B$14</f>
        <v>8000</v>
      </c>
      <c r="K51" s="9" t="n">
        <f aca="false">Штат!K40*Штат!$A$40*Рычаги!$B$14</f>
        <v>8000</v>
      </c>
      <c r="L51" s="9" t="n">
        <f aca="false">Штат!L40*Штат!$A$40*Рычаги!$B$14</f>
        <v>8000</v>
      </c>
      <c r="M51" s="9" t="n">
        <f aca="false">Штат!M40*Штат!$A$40*Рычаги!$B$14</f>
        <v>8000</v>
      </c>
      <c r="N51" s="9" t="n">
        <f aca="false">Штат!N40*Штат!$A$40*Рычаги!$B$14</f>
        <v>8000</v>
      </c>
      <c r="O51" s="9" t="n">
        <f aca="false">Штат!O40*Штат!$A$40*Рычаги!$B$14</f>
        <v>8000</v>
      </c>
      <c r="P51" s="9" t="n">
        <f aca="false">Штат!P40*Штат!$A$40*Рычаги!$B$14</f>
        <v>8000</v>
      </c>
      <c r="Q51" s="9" t="n">
        <f aca="false">Штат!Q40*Штат!$A$40*Рычаги!$B$14</f>
        <v>8000</v>
      </c>
      <c r="R51" s="9" t="n">
        <f aca="false">Штат!R40*Штат!$A$40*Рычаги!$B$14</f>
        <v>8000</v>
      </c>
      <c r="S51" s="9" t="n">
        <f aca="false">Штат!S40*Штат!$A$40*Рычаги!$B$14</f>
        <v>8000</v>
      </c>
      <c r="T51" s="9" t="n">
        <f aca="false">Штат!T40*Штат!$A$40*Рычаги!$B$14</f>
        <v>8000</v>
      </c>
      <c r="U51" s="9" t="n">
        <f aca="false">Штат!U40*Штат!$A$40*Рычаги!$B$14</f>
        <v>8000</v>
      </c>
      <c r="V51" s="9" t="n">
        <f aca="false">Штат!V40*Штат!$A$40*Рычаги!$B$14</f>
        <v>8000</v>
      </c>
      <c r="W51" s="9" t="n">
        <f aca="false">Штат!W40*Штат!$A$40*Рычаги!$B$14</f>
        <v>8000</v>
      </c>
      <c r="X51" s="9" t="n">
        <f aca="false">Штат!X40*Штат!$A$40*Рычаги!$B$14</f>
        <v>8000</v>
      </c>
      <c r="Y51" s="9" t="n">
        <f aca="false">Штат!Y40*Штат!$A$40*Рычаги!$B$14</f>
        <v>8000</v>
      </c>
      <c r="Z51" s="9" t="n">
        <f aca="false">Штат!Z40*Штат!$A$40*Рычаги!$B$14</f>
        <v>8000</v>
      </c>
      <c r="AA51" s="9" t="n">
        <f aca="false">Штат!AA40*Штат!$A$40*Рычаги!$B$14</f>
        <v>8000</v>
      </c>
      <c r="AB51" s="9" t="n">
        <f aca="false">Штат!AB40*Штат!$A$40*Рычаги!$B$14</f>
        <v>8000</v>
      </c>
      <c r="AC51" s="9" t="n">
        <f aca="false">Штат!AC40*Штат!$A$40*Рычаги!$B$14</f>
        <v>8000</v>
      </c>
      <c r="AD51" s="9" t="n">
        <f aca="false">Штат!AD40*Штат!$A$40*Рычаги!$B$14</f>
        <v>8000</v>
      </c>
      <c r="AE51" s="9" t="n">
        <f aca="false">Штат!AE40*Штат!$A$40*Рычаги!$B$14</f>
        <v>8000</v>
      </c>
      <c r="AF51" s="9" t="n">
        <f aca="false">Штат!AF40*Штат!$A$40*Рычаги!$B$14</f>
        <v>8000</v>
      </c>
      <c r="AG51" s="9" t="n">
        <f aca="false">Штат!AG40*Штат!$A$40*Рычаги!$B$14</f>
        <v>8000</v>
      </c>
      <c r="AH51" s="9" t="n">
        <f aca="false">Штат!AH40*Штат!$A$40*Рычаги!$B$14</f>
        <v>8000</v>
      </c>
      <c r="AI51" s="9" t="n">
        <f aca="false">Штат!AI40*Штат!$A$40*Рычаги!$B$14</f>
        <v>8000</v>
      </c>
      <c r="AJ51" s="9" t="n">
        <f aca="false">Штат!AJ40*Штат!$A$40*Рычаги!$B$14</f>
        <v>8000</v>
      </c>
      <c r="AK51" s="9" t="n">
        <f aca="false">Штат!AK40*Штат!$A$40*Рычаги!$B$14</f>
        <v>8000</v>
      </c>
      <c r="AL51" s="9" t="n">
        <f aca="false">Штат!AL40*Штат!$A$40*Рычаги!$B$14</f>
        <v>8000</v>
      </c>
      <c r="AM51" s="9" t="n">
        <f aca="false">SUM(C51:AL51)</f>
        <v>248000</v>
      </c>
    </row>
    <row r="52" customFormat="false" ht="15" hidden="false" customHeight="false" outlineLevel="0" collapsed="false">
      <c r="B52" s="7" t="s">
        <v>91</v>
      </c>
      <c r="C52" s="9" t="n">
        <f aca="false">Штат!C41*Штат!$A$41*Рычаги!$B$14</f>
        <v>0</v>
      </c>
      <c r="D52" s="9" t="n">
        <f aca="false">Штат!D41*Штат!$A$41*Рычаги!$B$14</f>
        <v>0</v>
      </c>
      <c r="E52" s="9" t="n">
        <f aca="false">Штат!E41*Штат!$A$41*Рычаги!$B$14</f>
        <v>2000</v>
      </c>
      <c r="F52" s="9" t="n">
        <f aca="false">Штат!F41*Штат!$A$41*Рычаги!$B$14</f>
        <v>2000</v>
      </c>
      <c r="G52" s="9" t="n">
        <f aca="false">Штат!G41*Штат!$A$41*Рычаги!$B$14</f>
        <v>2000</v>
      </c>
      <c r="H52" s="9" t="n">
        <f aca="false">Штат!H41*Штат!$A$41*Рычаги!$B$14</f>
        <v>2000</v>
      </c>
      <c r="I52" s="9" t="n">
        <f aca="false">Штат!I41*Штат!$A$41*Рычаги!$B$14</f>
        <v>2000</v>
      </c>
      <c r="J52" s="9" t="n">
        <f aca="false">Штат!J41*Штат!$A$41*Рычаги!$B$14</f>
        <v>4000</v>
      </c>
      <c r="K52" s="9" t="n">
        <f aca="false">Штат!K41*Штат!$A$41*Рычаги!$B$14</f>
        <v>4000</v>
      </c>
      <c r="L52" s="9" t="n">
        <f aca="false">Штат!L41*Штат!$A$41*Рычаги!$B$14</f>
        <v>4000</v>
      </c>
      <c r="M52" s="9" t="n">
        <f aca="false">Штат!M41*Штат!$A$41*Рычаги!$B$14</f>
        <v>4000</v>
      </c>
      <c r="N52" s="9" t="n">
        <f aca="false">Штат!N41*Штат!$A$41*Рычаги!$B$14</f>
        <v>4000</v>
      </c>
      <c r="O52" s="9" t="n">
        <f aca="false">Штат!O41*Штат!$A$41*Рычаги!$B$14</f>
        <v>4000</v>
      </c>
      <c r="P52" s="9" t="n">
        <f aca="false">Штат!P41*Штат!$A$41*Рычаги!$B$14</f>
        <v>4000</v>
      </c>
      <c r="Q52" s="9" t="n">
        <f aca="false">Штат!Q41*Штат!$A$41*Рычаги!$B$14</f>
        <v>4000</v>
      </c>
      <c r="R52" s="9" t="n">
        <f aca="false">Штат!R41*Штат!$A$41*Рычаги!$B$14</f>
        <v>4000</v>
      </c>
      <c r="S52" s="9" t="n">
        <f aca="false">Штат!S41*Штат!$A$41*Рычаги!$B$14</f>
        <v>4000</v>
      </c>
      <c r="T52" s="9" t="n">
        <f aca="false">Штат!T41*Штат!$A$41*Рычаги!$B$14</f>
        <v>4000</v>
      </c>
      <c r="U52" s="9" t="n">
        <f aca="false">Штат!U41*Штат!$A$41*Рычаги!$B$14</f>
        <v>4000</v>
      </c>
      <c r="V52" s="9" t="n">
        <f aca="false">Штат!V41*Штат!$A$41*Рычаги!$B$14</f>
        <v>4000</v>
      </c>
      <c r="W52" s="9" t="n">
        <f aca="false">Штат!W41*Штат!$A$41*Рычаги!$B$14</f>
        <v>4000</v>
      </c>
      <c r="X52" s="9" t="n">
        <f aca="false">Штат!X41*Штат!$A$41*Рычаги!$B$14</f>
        <v>4000</v>
      </c>
      <c r="Y52" s="9" t="n">
        <f aca="false">Штат!Y41*Штат!$A$41*Рычаги!$B$14</f>
        <v>4000</v>
      </c>
      <c r="Z52" s="9" t="n">
        <f aca="false">Штат!Z41*Штат!$A$41*Рычаги!$B$14</f>
        <v>4000</v>
      </c>
      <c r="AA52" s="9" t="n">
        <f aca="false">Штат!AA41*Штат!$A$41*Рычаги!$B$14</f>
        <v>4000</v>
      </c>
      <c r="AB52" s="9" t="n">
        <f aca="false">Штат!AB41*Штат!$A$41*Рычаги!$B$14</f>
        <v>4000</v>
      </c>
      <c r="AC52" s="9" t="n">
        <f aca="false">Штат!AC41*Штат!$A$41*Рычаги!$B$14</f>
        <v>4000</v>
      </c>
      <c r="AD52" s="9" t="n">
        <f aca="false">Штат!AD41*Штат!$A$41*Рычаги!$B$14</f>
        <v>4000</v>
      </c>
      <c r="AE52" s="9" t="n">
        <f aca="false">Штат!AE41*Штат!$A$41*Рычаги!$B$14</f>
        <v>4000</v>
      </c>
      <c r="AF52" s="9" t="n">
        <f aca="false">Штат!AF41*Штат!$A$41*Рычаги!$B$14</f>
        <v>4000</v>
      </c>
      <c r="AG52" s="9" t="n">
        <f aca="false">Штат!AG41*Штат!$A$41*Рычаги!$B$14</f>
        <v>4000</v>
      </c>
      <c r="AH52" s="9" t="n">
        <f aca="false">Штат!AH41*Штат!$A$41*Рычаги!$B$14</f>
        <v>4000</v>
      </c>
      <c r="AI52" s="9" t="n">
        <f aca="false">Штат!AI41*Штат!$A$41*Рычаги!$B$14</f>
        <v>4000</v>
      </c>
      <c r="AJ52" s="9" t="n">
        <f aca="false">Штат!AJ41*Штат!$A$41*Рычаги!$B$14</f>
        <v>4000</v>
      </c>
      <c r="AK52" s="9" t="n">
        <f aca="false">Штат!AK41*Штат!$A$41*Рычаги!$B$14</f>
        <v>4000</v>
      </c>
      <c r="AL52" s="9" t="n">
        <f aca="false">Штат!AL41*Штат!$A$41*Рычаги!$B$14</f>
        <v>4000</v>
      </c>
      <c r="AM52" s="9" t="n">
        <f aca="false">SUM(C52:AL52)</f>
        <v>126000</v>
      </c>
    </row>
    <row r="53" customFormat="false" ht="15" hidden="false" customHeight="false" outlineLevel="0" collapsed="false">
      <c r="B53" s="10" t="s">
        <v>92</v>
      </c>
      <c r="C53" s="11" t="n">
        <f aca="false">SUM(C22:C52)</f>
        <v>68000</v>
      </c>
      <c r="D53" s="11" t="n">
        <f aca="false">SUM(D22:D52)</f>
        <v>127000</v>
      </c>
      <c r="E53" s="11" t="n">
        <f aca="false">SUM(E22:E52)</f>
        <v>208500</v>
      </c>
      <c r="F53" s="11" t="n">
        <f aca="false">SUM(F22:F52)</f>
        <v>290500</v>
      </c>
      <c r="G53" s="11" t="n">
        <f aca="false">SUM(G22:G52)</f>
        <v>359500</v>
      </c>
      <c r="H53" s="11" t="n">
        <f aca="false">SUM(H22:H52)</f>
        <v>434000</v>
      </c>
      <c r="I53" s="11" t="n">
        <f aca="false">SUM(I22:I52)</f>
        <v>445000</v>
      </c>
      <c r="J53" s="11" t="n">
        <f aca="false">SUM(J22:J52)</f>
        <v>486500</v>
      </c>
      <c r="K53" s="11" t="n">
        <f aca="false">SUM(K22:K52)</f>
        <v>541000</v>
      </c>
      <c r="L53" s="11" t="n">
        <f aca="false">SUM(L22:L52)</f>
        <v>551000</v>
      </c>
      <c r="M53" s="11" t="n">
        <f aca="false">SUM(M22:M52)</f>
        <v>587500</v>
      </c>
      <c r="N53" s="11" t="n">
        <f aca="false">SUM(N22:N52)</f>
        <v>599500</v>
      </c>
      <c r="O53" s="11" t="n">
        <f aca="false">SUM(O22:O52)</f>
        <v>599500</v>
      </c>
      <c r="P53" s="11" t="n">
        <f aca="false">SUM(P22:P52)</f>
        <v>617000</v>
      </c>
      <c r="Q53" s="11" t="n">
        <f aca="false">SUM(Q22:Q52)</f>
        <v>660500</v>
      </c>
      <c r="R53" s="11" t="n">
        <f aca="false">SUM(R22:R52)</f>
        <v>657500</v>
      </c>
      <c r="S53" s="11" t="n">
        <f aca="false">SUM(S22:S52)</f>
        <v>675000</v>
      </c>
      <c r="T53" s="11" t="n">
        <f aca="false">SUM(T22:T52)</f>
        <v>675000</v>
      </c>
      <c r="U53" s="11" t="n">
        <f aca="false">SUM(U22:U52)</f>
        <v>678500</v>
      </c>
      <c r="V53" s="11" t="n">
        <f aca="false">SUM(V22:V52)</f>
        <v>678500</v>
      </c>
      <c r="W53" s="11" t="n">
        <f aca="false">SUM(W22:W52)</f>
        <v>698000</v>
      </c>
      <c r="X53" s="11" t="n">
        <f aca="false">SUM(X22:X52)</f>
        <v>698000</v>
      </c>
      <c r="Y53" s="11" t="n">
        <f aca="false">SUM(Y22:Y52)</f>
        <v>711500</v>
      </c>
      <c r="Z53" s="11" t="n">
        <f aca="false">SUM(Z22:Z52)</f>
        <v>711500</v>
      </c>
      <c r="AA53" s="11" t="n">
        <f aca="false">SUM(AA22:AA52)</f>
        <v>720000</v>
      </c>
      <c r="AB53" s="11" t="n">
        <f aca="false">SUM(AB22:AB52)</f>
        <v>720000</v>
      </c>
      <c r="AC53" s="11" t="n">
        <f aca="false">SUM(AC22:AC52)</f>
        <v>756500</v>
      </c>
      <c r="AD53" s="11" t="n">
        <f aca="false">SUM(AD22:AD52)</f>
        <v>756500</v>
      </c>
      <c r="AE53" s="11" t="n">
        <f aca="false">SUM(AE22:AE52)</f>
        <v>760000</v>
      </c>
      <c r="AF53" s="11" t="n">
        <f aca="false">SUM(AF22:AF52)</f>
        <v>765000</v>
      </c>
      <c r="AG53" s="11" t="n">
        <f aca="false">SUM(AG22:AG52)</f>
        <v>768500</v>
      </c>
      <c r="AH53" s="11" t="n">
        <f aca="false">SUM(AH22:AH52)</f>
        <v>778500</v>
      </c>
      <c r="AI53" s="11" t="n">
        <f aca="false">SUM(AI22:AI52)</f>
        <v>793000</v>
      </c>
      <c r="AJ53" s="11" t="n">
        <f aca="false">SUM(AJ22:AJ52)</f>
        <v>798000</v>
      </c>
      <c r="AK53" s="11" t="n">
        <f aca="false">SUM(AK22:AK52)</f>
        <v>801500</v>
      </c>
      <c r="AL53" s="11" t="n">
        <f aca="false">SUM(AL22:AL52)</f>
        <v>801500</v>
      </c>
      <c r="AM53" s="12" t="n">
        <f aca="false">SUM(C53:AL53)</f>
        <v>21977500</v>
      </c>
    </row>
    <row r="54" customFormat="false" ht="15" hidden="false" customHeight="false" outlineLevel="0" collapsed="false">
      <c r="B54" s="7" t="s">
        <v>93</v>
      </c>
      <c r="C54" s="9" t="n">
        <f aca="false">C53*$AN54</f>
        <v>6800</v>
      </c>
      <c r="D54" s="9" t="n">
        <f aca="false">D53*$AN54</f>
        <v>12700</v>
      </c>
      <c r="E54" s="9" t="n">
        <f aca="false">E53*$AN54</f>
        <v>20850</v>
      </c>
      <c r="F54" s="9" t="n">
        <f aca="false">F53*$AN54</f>
        <v>29050</v>
      </c>
      <c r="G54" s="9" t="n">
        <f aca="false">G53*$AN54</f>
        <v>35950</v>
      </c>
      <c r="H54" s="9" t="n">
        <f aca="false">H53*$AN54</f>
        <v>43400</v>
      </c>
      <c r="I54" s="9" t="n">
        <f aca="false">I53*$AN54</f>
        <v>44500</v>
      </c>
      <c r="J54" s="9" t="n">
        <f aca="false">J53*$AN54</f>
        <v>48650</v>
      </c>
      <c r="K54" s="9" t="n">
        <f aca="false">K53*$AN54</f>
        <v>54100</v>
      </c>
      <c r="L54" s="9" t="n">
        <f aca="false">L53*$AN54</f>
        <v>55100</v>
      </c>
      <c r="M54" s="9" t="n">
        <f aca="false">M53*$AN54</f>
        <v>58750</v>
      </c>
      <c r="N54" s="9" t="n">
        <f aca="false">N53*$AN54</f>
        <v>59950</v>
      </c>
      <c r="O54" s="9" t="n">
        <f aca="false">O53*$AN54</f>
        <v>59950</v>
      </c>
      <c r="P54" s="9" t="n">
        <f aca="false">P53*$AN54</f>
        <v>61700</v>
      </c>
      <c r="Q54" s="9" t="n">
        <f aca="false">Q53*$AN54</f>
        <v>66050</v>
      </c>
      <c r="R54" s="9" t="n">
        <f aca="false">R53*$AN54</f>
        <v>65750</v>
      </c>
      <c r="S54" s="9" t="n">
        <f aca="false">S53*$AN54</f>
        <v>67500</v>
      </c>
      <c r="T54" s="9" t="n">
        <f aca="false">T53*$AN54</f>
        <v>67500</v>
      </c>
      <c r="U54" s="9" t="n">
        <f aca="false">U53*$AN54</f>
        <v>67850</v>
      </c>
      <c r="V54" s="9" t="n">
        <f aca="false">V53*$AN54</f>
        <v>67850</v>
      </c>
      <c r="W54" s="9" t="n">
        <f aca="false">W53*$AN54</f>
        <v>69800</v>
      </c>
      <c r="X54" s="9" t="n">
        <f aca="false">X53*$AN54</f>
        <v>69800</v>
      </c>
      <c r="Y54" s="9" t="n">
        <f aca="false">Y53*$AN54</f>
        <v>71150</v>
      </c>
      <c r="Z54" s="9" t="n">
        <f aca="false">Z53*$AN54</f>
        <v>71150</v>
      </c>
      <c r="AA54" s="9" t="n">
        <f aca="false">AA53*$AN54</f>
        <v>72000</v>
      </c>
      <c r="AB54" s="9" t="n">
        <f aca="false">AB53*$AN54</f>
        <v>72000</v>
      </c>
      <c r="AC54" s="9" t="n">
        <f aca="false">AC53*$AN54</f>
        <v>75650</v>
      </c>
      <c r="AD54" s="9" t="n">
        <f aca="false">AD53*$AN54</f>
        <v>75650</v>
      </c>
      <c r="AE54" s="9" t="n">
        <f aca="false">AE53*$AN54</f>
        <v>76000</v>
      </c>
      <c r="AF54" s="9" t="n">
        <f aca="false">AF53*$AN54</f>
        <v>76500</v>
      </c>
      <c r="AG54" s="9" t="n">
        <f aca="false">AG53*$AN54</f>
        <v>76850</v>
      </c>
      <c r="AH54" s="9" t="n">
        <f aca="false">AH53*$AN54</f>
        <v>77850</v>
      </c>
      <c r="AI54" s="9" t="n">
        <f aca="false">AI53*$AN54</f>
        <v>79300</v>
      </c>
      <c r="AJ54" s="9" t="n">
        <f aca="false">AJ53*$AN54</f>
        <v>79800</v>
      </c>
      <c r="AK54" s="9" t="n">
        <f aca="false">AK53*$AN54</f>
        <v>80150</v>
      </c>
      <c r="AL54" s="9" t="n">
        <f aca="false">AL53*$AN54</f>
        <v>80150</v>
      </c>
      <c r="AM54" s="9" t="n">
        <f aca="false">SUM(C54:AL54)</f>
        <v>2197750</v>
      </c>
      <c r="AN54" s="14" t="n">
        <v>0.1</v>
      </c>
    </row>
    <row r="55" customFormat="false" ht="15" hidden="false" customHeight="false" outlineLevel="0" collapsed="false">
      <c r="B55" s="7" t="s">
        <v>94</v>
      </c>
      <c r="C55" s="9" t="n">
        <f aca="false">Штат!C43*Рычаги!$B$15+Штат!C44*Рычаги!$B$16</f>
        <v>54000</v>
      </c>
      <c r="D55" s="9" t="n">
        <f aca="false">Штат!D43*Рычаги!$B$15+Штат!D44*Рычаги!$B$16</f>
        <v>56000</v>
      </c>
      <c r="E55" s="9" t="n">
        <f aca="false">Штат!E43*Рычаги!$B$15+Штат!E44*Рычаги!$B$16</f>
        <v>52000</v>
      </c>
      <c r="F55" s="9" t="n">
        <f aca="false">Штат!F43*Рычаги!$B$15+Штат!F44*Рычаги!$B$16</f>
        <v>34000</v>
      </c>
      <c r="G55" s="9" t="n">
        <f aca="false">Штат!G43*Рычаги!$B$15+Штат!G44*Рычаги!$B$16</f>
        <v>32000</v>
      </c>
      <c r="H55" s="9" t="n">
        <f aca="false">Штат!H43*Рычаги!$B$15+Штат!H44*Рычаги!$B$16</f>
        <v>30000</v>
      </c>
      <c r="I55" s="9" t="n">
        <f aca="false">Штат!I43*Рычаги!$B$15+Штат!I44*Рычаги!$B$16</f>
        <v>4000</v>
      </c>
      <c r="J55" s="9" t="n">
        <f aca="false">Штат!J43*Рычаги!$B$15+Штат!J44*Рычаги!$B$16</f>
        <v>18000</v>
      </c>
      <c r="K55" s="9" t="n">
        <f aca="false">Штат!K43*Рычаги!$B$15+Штат!K44*Рычаги!$B$16</f>
        <v>28000</v>
      </c>
      <c r="L55" s="9" t="n">
        <f aca="false">Штат!L43*Рычаги!$B$15+Штат!L44*Рычаги!$B$16</f>
        <v>4000</v>
      </c>
      <c r="M55" s="9" t="n">
        <f aca="false">Штат!M43*Рычаги!$B$15+Штат!M44*Рычаги!$B$16</f>
        <v>14000</v>
      </c>
      <c r="N55" s="9" t="n">
        <f aca="false">Штат!N43*Рычаги!$B$15+Штат!N44*Рычаги!$B$16</f>
        <v>4000</v>
      </c>
      <c r="O55" s="9" t="n">
        <f aca="false">Штат!O43*Рычаги!$B$15+Штат!O44*Рычаги!$B$16</f>
        <v>0</v>
      </c>
      <c r="P55" s="9" t="n">
        <f aca="false">Штат!P43*Рычаги!$B$15+Штат!P44*Рычаги!$B$16</f>
        <v>6000</v>
      </c>
      <c r="Q55" s="9" t="n">
        <f aca="false">Штат!Q43*Рычаги!$B$15+Штат!Q44*Рычаги!$B$16</f>
        <v>20000</v>
      </c>
      <c r="R55" s="9" t="n">
        <f aca="false">Штат!R43*Рычаги!$B$15+Штат!R44*Рычаги!$B$16</f>
        <v>0</v>
      </c>
      <c r="S55" s="9" t="n">
        <f aca="false">Штат!S43*Рычаги!$B$15+Штат!S44*Рычаги!$B$16</f>
        <v>6000</v>
      </c>
      <c r="T55" s="9" t="n">
        <f aca="false">Штат!T43*Рычаги!$B$15+Штат!T44*Рычаги!$B$16</f>
        <v>0</v>
      </c>
      <c r="U55" s="9" t="n">
        <f aca="false">Штат!U43*Рычаги!$B$15+Штат!U44*Рычаги!$B$16</f>
        <v>2000</v>
      </c>
      <c r="V55" s="9" t="n">
        <f aca="false">Штат!V43*Рычаги!$B$15+Штат!V44*Рычаги!$B$16</f>
        <v>0</v>
      </c>
      <c r="W55" s="9" t="n">
        <f aca="false">Штат!W43*Рычаги!$B$15+Штат!W44*Рычаги!$B$16</f>
        <v>8000</v>
      </c>
      <c r="X55" s="9" t="n">
        <f aca="false">Штат!X43*Рычаги!$B$15+Штат!X44*Рычаги!$B$16</f>
        <v>0</v>
      </c>
      <c r="Y55" s="9" t="n">
        <f aca="false">Штат!Y43*Рычаги!$B$15+Штат!Y44*Рычаги!$B$16</f>
        <v>8000</v>
      </c>
      <c r="Z55" s="9" t="n">
        <f aca="false">Штат!Z43*Рычаги!$B$15+Штат!Z44*Рычаги!$B$16</f>
        <v>0</v>
      </c>
      <c r="AA55" s="9" t="n">
        <f aca="false">Штат!AA43*Рычаги!$B$15+Штат!AA44*Рычаги!$B$16</f>
        <v>4000</v>
      </c>
      <c r="AB55" s="9" t="n">
        <f aca="false">Штат!AB43*Рычаги!$B$15+Штат!AB44*Рычаги!$B$16</f>
        <v>0</v>
      </c>
      <c r="AC55" s="9" t="n">
        <f aca="false">Штат!AC43*Рычаги!$B$15+Штат!AC44*Рычаги!$B$16</f>
        <v>16000</v>
      </c>
      <c r="AD55" s="9" t="n">
        <f aca="false">Штат!AD43*Рычаги!$B$15+Штат!AD44*Рычаги!$B$16</f>
        <v>0</v>
      </c>
      <c r="AE55" s="9" t="n">
        <f aca="false">Штат!AE43*Рычаги!$B$15+Штат!AE44*Рычаги!$B$16</f>
        <v>2000</v>
      </c>
      <c r="AF55" s="9" t="n">
        <f aca="false">Штат!AF43*Рычаги!$B$15+Штат!AF44*Рычаги!$B$16</f>
        <v>2000</v>
      </c>
      <c r="AG55" s="9" t="n">
        <f aca="false">Штат!AG43*Рычаги!$B$15+Штат!AG44*Рычаги!$B$16</f>
        <v>2000</v>
      </c>
      <c r="AH55" s="9" t="n">
        <f aca="false">Штат!AH43*Рычаги!$B$15+Штат!AH44*Рычаги!$B$16</f>
        <v>6000</v>
      </c>
      <c r="AI55" s="9" t="n">
        <f aca="false">Штат!AI43*Рычаги!$B$15+Штат!AI44*Рычаги!$B$16</f>
        <v>6000</v>
      </c>
      <c r="AJ55" s="9" t="n">
        <f aca="false">Штат!AJ43*Рычаги!$B$15+Штат!AJ44*Рычаги!$B$16</f>
        <v>2000</v>
      </c>
      <c r="AK55" s="9" t="n">
        <f aca="false">Штат!AK43*Рычаги!$B$15+Штат!AK44*Рычаги!$B$16</f>
        <v>2000</v>
      </c>
      <c r="AL55" s="9" t="n">
        <f aca="false">Штат!AL43*Рычаги!$B$15+Штат!AL44*Рычаги!$B$16</f>
        <v>0</v>
      </c>
      <c r="AM55" s="9" t="n">
        <f aca="false">SUM(C55:AL55)</f>
        <v>422000</v>
      </c>
    </row>
    <row r="56" customFormat="false" ht="15" hidden="false" customHeight="false" outlineLevel="0" collapsed="false">
      <c r="A56" s="13"/>
      <c r="B56" s="13" t="s">
        <v>95</v>
      </c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</row>
    <row r="57" customFormat="false" ht="15" hidden="false" customHeight="false" outlineLevel="0" collapsed="false">
      <c r="B57" s="7" t="s">
        <v>96</v>
      </c>
      <c r="C57" s="15" t="n">
        <v>1000</v>
      </c>
      <c r="D57" s="15" t="n">
        <v>2400</v>
      </c>
      <c r="E57" s="15" t="n">
        <v>3800</v>
      </c>
      <c r="F57" s="15" t="n">
        <v>5200</v>
      </c>
      <c r="G57" s="15" t="n">
        <v>6600</v>
      </c>
      <c r="H57" s="15" t="n">
        <v>8000</v>
      </c>
      <c r="I57" s="15" t="n">
        <v>9166.67</v>
      </c>
      <c r="J57" s="15" t="n">
        <v>10333.33</v>
      </c>
      <c r="K57" s="15" t="n">
        <v>11500</v>
      </c>
      <c r="L57" s="15" t="n">
        <v>12666.67</v>
      </c>
      <c r="M57" s="15" t="n">
        <v>13833.33</v>
      </c>
      <c r="N57" s="15" t="n">
        <v>15000</v>
      </c>
      <c r="O57" s="15" t="n">
        <v>15833.33</v>
      </c>
      <c r="P57" s="15" t="n">
        <v>16666.67</v>
      </c>
      <c r="Q57" s="15" t="n">
        <v>17500</v>
      </c>
      <c r="R57" s="15" t="n">
        <v>18333.33</v>
      </c>
      <c r="S57" s="15" t="n">
        <v>19166.67</v>
      </c>
      <c r="T57" s="15" t="n">
        <v>20000</v>
      </c>
      <c r="U57" s="15" t="n">
        <v>20555.56</v>
      </c>
      <c r="V57" s="15" t="n">
        <v>21111.11</v>
      </c>
      <c r="W57" s="15" t="n">
        <v>21666.67</v>
      </c>
      <c r="X57" s="15" t="n">
        <v>22222.22</v>
      </c>
      <c r="Y57" s="15" t="n">
        <v>22777.78</v>
      </c>
      <c r="Z57" s="15" t="n">
        <v>23333.33</v>
      </c>
      <c r="AA57" s="15" t="n">
        <v>23888.89</v>
      </c>
      <c r="AB57" s="15" t="n">
        <v>24444.44</v>
      </c>
      <c r="AC57" s="15" t="n">
        <v>25000</v>
      </c>
      <c r="AD57" s="15" t="n">
        <v>25555.56</v>
      </c>
      <c r="AE57" s="15" t="n">
        <v>26111.11</v>
      </c>
      <c r="AF57" s="15" t="n">
        <v>26666.67</v>
      </c>
      <c r="AG57" s="15" t="n">
        <v>27222.22</v>
      </c>
      <c r="AH57" s="15" t="n">
        <v>27777.78</v>
      </c>
      <c r="AI57" s="15" t="n">
        <v>28333.33</v>
      </c>
      <c r="AJ57" s="15" t="n">
        <v>28888.89</v>
      </c>
      <c r="AK57" s="15" t="n">
        <v>29444.44</v>
      </c>
      <c r="AL57" s="15" t="n">
        <v>30000</v>
      </c>
      <c r="AM57" s="9" t="n">
        <f aca="false">SUM(C57:AL57)</f>
        <v>662000</v>
      </c>
    </row>
    <row r="58" customFormat="false" ht="15" hidden="false" customHeight="false" outlineLevel="0" collapsed="false">
      <c r="B58" s="7" t="s">
        <v>97</v>
      </c>
      <c r="C58" s="15" t="n">
        <v>3000</v>
      </c>
      <c r="D58" s="15" t="n">
        <v>4400</v>
      </c>
      <c r="E58" s="15" t="n">
        <v>5800</v>
      </c>
      <c r="F58" s="15" t="n">
        <v>7200</v>
      </c>
      <c r="G58" s="15" t="n">
        <v>8600</v>
      </c>
      <c r="H58" s="15" t="n">
        <v>10000</v>
      </c>
      <c r="I58" s="15" t="n">
        <v>10416.67</v>
      </c>
      <c r="J58" s="15" t="n">
        <v>10833.33</v>
      </c>
      <c r="K58" s="15" t="n">
        <v>11250</v>
      </c>
      <c r="L58" s="15" t="n">
        <v>11666.67</v>
      </c>
      <c r="M58" s="15" t="n">
        <v>12083.33</v>
      </c>
      <c r="N58" s="15" t="n">
        <v>12500</v>
      </c>
      <c r="O58" s="15" t="n">
        <v>12916.67</v>
      </c>
      <c r="P58" s="15" t="n">
        <v>13333.33</v>
      </c>
      <c r="Q58" s="15" t="n">
        <v>13750</v>
      </c>
      <c r="R58" s="15" t="n">
        <v>14166.67</v>
      </c>
      <c r="S58" s="15" t="n">
        <v>14583.33</v>
      </c>
      <c r="T58" s="15" t="n">
        <v>15000</v>
      </c>
      <c r="U58" s="15" t="n">
        <v>15277.78</v>
      </c>
      <c r="V58" s="15" t="n">
        <v>15555.56</v>
      </c>
      <c r="W58" s="15" t="n">
        <v>15833.33</v>
      </c>
      <c r="X58" s="15" t="n">
        <v>16111.11</v>
      </c>
      <c r="Y58" s="15" t="n">
        <v>16388.89</v>
      </c>
      <c r="Z58" s="15" t="n">
        <v>16666.67</v>
      </c>
      <c r="AA58" s="15" t="n">
        <v>16944.44</v>
      </c>
      <c r="AB58" s="15" t="n">
        <v>17222.22</v>
      </c>
      <c r="AC58" s="15" t="n">
        <v>17500</v>
      </c>
      <c r="AD58" s="15" t="n">
        <v>17777.78</v>
      </c>
      <c r="AE58" s="15" t="n">
        <v>18055.56</v>
      </c>
      <c r="AF58" s="15" t="n">
        <v>18333.33</v>
      </c>
      <c r="AG58" s="15" t="n">
        <v>18611.11</v>
      </c>
      <c r="AH58" s="15" t="n">
        <v>18888.89</v>
      </c>
      <c r="AI58" s="15" t="n">
        <v>19166.67</v>
      </c>
      <c r="AJ58" s="15" t="n">
        <v>19444.44</v>
      </c>
      <c r="AK58" s="15" t="n">
        <v>19722.22</v>
      </c>
      <c r="AL58" s="15" t="n">
        <v>20000</v>
      </c>
      <c r="AM58" s="9" t="n">
        <f aca="false">SUM(C58:AL58)</f>
        <v>509000</v>
      </c>
    </row>
    <row r="59" customFormat="false" ht="15" hidden="false" customHeight="false" outlineLevel="0" collapsed="false">
      <c r="B59" s="7" t="s">
        <v>98</v>
      </c>
      <c r="C59" s="9" t="n">
        <f aca="false">Штат!C42*$AN59</f>
        <v>1350</v>
      </c>
      <c r="D59" s="9" t="n">
        <f aca="false">Штат!D42*$AN59</f>
        <v>2850</v>
      </c>
      <c r="E59" s="9" t="n">
        <f aca="false">Штат!E42*$AN59</f>
        <v>5400</v>
      </c>
      <c r="F59" s="9" t="n">
        <f aca="false">Штат!F42*$AN59</f>
        <v>7950</v>
      </c>
      <c r="G59" s="9" t="n">
        <f aca="false">Штат!G42*$AN59</f>
        <v>10350</v>
      </c>
      <c r="H59" s="9" t="n">
        <f aca="false">Штат!H42*$AN59</f>
        <v>12600</v>
      </c>
      <c r="I59" s="9" t="n">
        <f aca="false">Штат!I42*$AN59</f>
        <v>12900</v>
      </c>
      <c r="J59" s="9" t="n">
        <f aca="false">Штат!J42*$AN59</f>
        <v>14250</v>
      </c>
      <c r="K59" s="9" t="n">
        <f aca="false">Штат!K42*$AN59</f>
        <v>16350</v>
      </c>
      <c r="L59" s="9" t="n">
        <f aca="false">Штат!L42*$AN59</f>
        <v>16650</v>
      </c>
      <c r="M59" s="9" t="n">
        <f aca="false">Штат!M42*$AN59</f>
        <v>17700</v>
      </c>
      <c r="N59" s="9" t="n">
        <f aca="false">Штат!N42*$AN59</f>
        <v>18000</v>
      </c>
      <c r="O59" s="9" t="n">
        <f aca="false">Штат!O42*$AN59</f>
        <v>18000</v>
      </c>
      <c r="P59" s="9" t="n">
        <f aca="false">Штат!P42*$AN59</f>
        <v>18450</v>
      </c>
      <c r="Q59" s="9" t="n">
        <f aca="false">Штат!Q42*$AN59</f>
        <v>19950</v>
      </c>
      <c r="R59" s="9" t="n">
        <f aca="false">Штат!R42*$AN59</f>
        <v>19800</v>
      </c>
      <c r="S59" s="9" t="n">
        <f aca="false">Штат!S42*$AN59</f>
        <v>20250</v>
      </c>
      <c r="T59" s="9" t="n">
        <f aca="false">Штат!T42*$AN59</f>
        <v>20250</v>
      </c>
      <c r="U59" s="9" t="n">
        <f aca="false">Штат!U42*$AN59</f>
        <v>20400</v>
      </c>
      <c r="V59" s="9" t="n">
        <f aca="false">Штат!V42*$AN59</f>
        <v>20400</v>
      </c>
      <c r="W59" s="9" t="n">
        <f aca="false">Штат!W42*$AN59</f>
        <v>21000</v>
      </c>
      <c r="X59" s="9" t="n">
        <f aca="false">Штат!X42*$AN59</f>
        <v>21000</v>
      </c>
      <c r="Y59" s="9" t="n">
        <f aca="false">Штат!Y42*$AN59</f>
        <v>21600</v>
      </c>
      <c r="Z59" s="9" t="n">
        <f aca="false">Штат!Z42*$AN59</f>
        <v>21600</v>
      </c>
      <c r="AA59" s="9" t="n">
        <f aca="false">Штат!AA42*$AN59</f>
        <v>21900</v>
      </c>
      <c r="AB59" s="9" t="n">
        <f aca="false">Штат!AB42*$AN59</f>
        <v>21900</v>
      </c>
      <c r="AC59" s="9" t="n">
        <f aca="false">Штат!AC42*$AN59</f>
        <v>23100</v>
      </c>
      <c r="AD59" s="9" t="n">
        <f aca="false">Штат!AD42*$AN59</f>
        <v>23100</v>
      </c>
      <c r="AE59" s="9" t="n">
        <f aca="false">Штат!AE42*$AN59</f>
        <v>23250</v>
      </c>
      <c r="AF59" s="9" t="n">
        <f aca="false">Штат!AF42*$AN59</f>
        <v>23400</v>
      </c>
      <c r="AG59" s="9" t="n">
        <f aca="false">Штат!AG42*$AN59</f>
        <v>23550</v>
      </c>
      <c r="AH59" s="9" t="n">
        <f aca="false">Штат!AH42*$AN59</f>
        <v>24000</v>
      </c>
      <c r="AI59" s="9" t="n">
        <f aca="false">Штат!AI42*$AN59</f>
        <v>24450</v>
      </c>
      <c r="AJ59" s="9" t="n">
        <f aca="false">Штат!AJ42*$AN59</f>
        <v>24600</v>
      </c>
      <c r="AK59" s="9" t="n">
        <f aca="false">Штат!AK42*$AN59</f>
        <v>24750</v>
      </c>
      <c r="AL59" s="9" t="n">
        <f aca="false">Штат!AL42*$AN59</f>
        <v>24750</v>
      </c>
      <c r="AM59" s="9" t="n">
        <f aca="false">SUM(C59:AL59)</f>
        <v>661800</v>
      </c>
      <c r="AN59" s="16" t="n">
        <v>150</v>
      </c>
    </row>
    <row r="60" customFormat="false" ht="15" hidden="false" customHeight="false" outlineLevel="0" collapsed="false">
      <c r="B60" s="7" t="s">
        <v>99</v>
      </c>
      <c r="C60" s="15"/>
      <c r="D60" s="15" t="n">
        <v>5000</v>
      </c>
      <c r="E60" s="15" t="n">
        <v>6428.57</v>
      </c>
      <c r="F60" s="15" t="n">
        <v>7857.14</v>
      </c>
      <c r="G60" s="15" t="n">
        <v>9285.71</v>
      </c>
      <c r="H60" s="15" t="n">
        <v>10714.29</v>
      </c>
      <c r="I60" s="15" t="n">
        <v>12142.86</v>
      </c>
      <c r="J60" s="15" t="n">
        <v>13571.43</v>
      </c>
      <c r="K60" s="15" t="n">
        <v>15000</v>
      </c>
      <c r="L60" s="15" t="n">
        <v>15555.56</v>
      </c>
      <c r="M60" s="15" t="n">
        <v>16111.11</v>
      </c>
      <c r="N60" s="15" t="n">
        <v>16666.67</v>
      </c>
      <c r="O60" s="15" t="n">
        <v>17222.22</v>
      </c>
      <c r="P60" s="15" t="n">
        <v>17777.78</v>
      </c>
      <c r="Q60" s="15" t="n">
        <v>18333.33</v>
      </c>
      <c r="R60" s="15" t="n">
        <v>18888.89</v>
      </c>
      <c r="S60" s="15" t="n">
        <v>19444.44</v>
      </c>
      <c r="T60" s="15" t="n">
        <v>20000</v>
      </c>
      <c r="U60" s="15" t="n">
        <v>20277.78</v>
      </c>
      <c r="V60" s="15" t="n">
        <v>20555.56</v>
      </c>
      <c r="W60" s="15" t="n">
        <v>20833.33</v>
      </c>
      <c r="X60" s="15" t="n">
        <v>21111.11</v>
      </c>
      <c r="Y60" s="15" t="n">
        <v>21388.89</v>
      </c>
      <c r="Z60" s="15" t="n">
        <v>21666.67</v>
      </c>
      <c r="AA60" s="15" t="n">
        <v>21944.44</v>
      </c>
      <c r="AB60" s="15" t="n">
        <v>22222.22</v>
      </c>
      <c r="AC60" s="15" t="n">
        <v>22500</v>
      </c>
      <c r="AD60" s="15" t="n">
        <v>22777.78</v>
      </c>
      <c r="AE60" s="15" t="n">
        <v>23055.56</v>
      </c>
      <c r="AF60" s="15" t="n">
        <v>23333.33</v>
      </c>
      <c r="AG60" s="15" t="n">
        <v>23611.11</v>
      </c>
      <c r="AH60" s="15" t="n">
        <v>23888.89</v>
      </c>
      <c r="AI60" s="15" t="n">
        <v>24166.67</v>
      </c>
      <c r="AJ60" s="15" t="n">
        <v>24444.44</v>
      </c>
      <c r="AK60" s="15" t="n">
        <v>24722.22</v>
      </c>
      <c r="AL60" s="15" t="n">
        <v>25000</v>
      </c>
      <c r="AM60" s="9" t="n">
        <f aca="false">SUM(C60:AL60)</f>
        <v>647500</v>
      </c>
    </row>
    <row r="61" customFormat="false" ht="15" hidden="false" customHeight="false" outlineLevel="0" collapsed="false">
      <c r="B61" s="10" t="s">
        <v>100</v>
      </c>
      <c r="C61" s="11" t="n">
        <f aca="false">SUM(C57:C60)</f>
        <v>5350</v>
      </c>
      <c r="D61" s="11" t="n">
        <f aca="false">SUM(D57:D60)</f>
        <v>14650</v>
      </c>
      <c r="E61" s="11" t="n">
        <f aca="false">SUM(E57:E60)</f>
        <v>21428.57</v>
      </c>
      <c r="F61" s="11" t="n">
        <f aca="false">SUM(F57:F60)</f>
        <v>28207.14</v>
      </c>
      <c r="G61" s="11" t="n">
        <f aca="false">SUM(G57:G60)</f>
        <v>34835.71</v>
      </c>
      <c r="H61" s="11" t="n">
        <f aca="false">SUM(H57:H60)</f>
        <v>41314.29</v>
      </c>
      <c r="I61" s="11" t="n">
        <f aca="false">SUM(I57:I60)</f>
        <v>44626.2</v>
      </c>
      <c r="J61" s="11" t="n">
        <f aca="false">SUM(J57:J60)</f>
        <v>48988.09</v>
      </c>
      <c r="K61" s="11" t="n">
        <f aca="false">SUM(K57:K60)</f>
        <v>54100</v>
      </c>
      <c r="L61" s="11" t="n">
        <f aca="false">SUM(L57:L60)</f>
        <v>56538.9</v>
      </c>
      <c r="M61" s="11" t="n">
        <f aca="false">SUM(M57:M60)</f>
        <v>59727.77</v>
      </c>
      <c r="N61" s="11" t="n">
        <f aca="false">SUM(N57:N60)</f>
        <v>62166.67</v>
      </c>
      <c r="O61" s="11" t="n">
        <f aca="false">SUM(O57:O60)</f>
        <v>63972.22</v>
      </c>
      <c r="P61" s="11" t="n">
        <f aca="false">SUM(P57:P60)</f>
        <v>66227.78</v>
      </c>
      <c r="Q61" s="11" t="n">
        <f aca="false">SUM(Q57:Q60)</f>
        <v>69533.33</v>
      </c>
      <c r="R61" s="11" t="n">
        <f aca="false">SUM(R57:R60)</f>
        <v>71188.89</v>
      </c>
      <c r="S61" s="11" t="n">
        <f aca="false">SUM(S57:S60)</f>
        <v>73444.44</v>
      </c>
      <c r="T61" s="11" t="n">
        <f aca="false">SUM(T57:T60)</f>
        <v>75250</v>
      </c>
      <c r="U61" s="11" t="n">
        <f aca="false">SUM(U57:U60)</f>
        <v>76511.12</v>
      </c>
      <c r="V61" s="11" t="n">
        <f aca="false">SUM(V57:V60)</f>
        <v>77622.23</v>
      </c>
      <c r="W61" s="11" t="n">
        <f aca="false">SUM(W57:W60)</f>
        <v>79333.33</v>
      </c>
      <c r="X61" s="11" t="n">
        <f aca="false">SUM(X57:X60)</f>
        <v>80444.44</v>
      </c>
      <c r="Y61" s="11" t="n">
        <f aca="false">SUM(Y57:Y60)</f>
        <v>82155.56</v>
      </c>
      <c r="Z61" s="11" t="n">
        <f aca="false">SUM(Z57:Z60)</f>
        <v>83266.67</v>
      </c>
      <c r="AA61" s="11" t="n">
        <f aca="false">SUM(AA57:AA60)</f>
        <v>84677.77</v>
      </c>
      <c r="AB61" s="11" t="n">
        <f aca="false">SUM(AB57:AB60)</f>
        <v>85788.88</v>
      </c>
      <c r="AC61" s="11" t="n">
        <f aca="false">SUM(AC57:AC60)</f>
        <v>88100</v>
      </c>
      <c r="AD61" s="11" t="n">
        <f aca="false">SUM(AD57:AD60)</f>
        <v>89211.12</v>
      </c>
      <c r="AE61" s="11" t="n">
        <f aca="false">SUM(AE57:AE60)</f>
        <v>90472.23</v>
      </c>
      <c r="AF61" s="11" t="n">
        <f aca="false">SUM(AF57:AF60)</f>
        <v>91733.33</v>
      </c>
      <c r="AG61" s="11" t="n">
        <f aca="false">SUM(AG57:AG60)</f>
        <v>92994.44</v>
      </c>
      <c r="AH61" s="11" t="n">
        <f aca="false">SUM(AH57:AH60)</f>
        <v>94555.56</v>
      </c>
      <c r="AI61" s="11" t="n">
        <f aca="false">SUM(AI57:AI60)</f>
        <v>96116.67</v>
      </c>
      <c r="AJ61" s="11" t="n">
        <f aca="false">SUM(AJ57:AJ60)</f>
        <v>97377.77</v>
      </c>
      <c r="AK61" s="11" t="n">
        <f aca="false">SUM(AK57:AK60)</f>
        <v>98638.88</v>
      </c>
      <c r="AL61" s="11" t="n">
        <f aca="false">SUM(AL57:AL60)</f>
        <v>99750</v>
      </c>
      <c r="AM61" s="12" t="n">
        <f aca="false">SUM(C61:AL61)</f>
        <v>2480300</v>
      </c>
    </row>
    <row r="62" customFormat="false" ht="15" hidden="false" customHeight="false" outlineLevel="0" collapsed="false">
      <c r="A62" s="13"/>
      <c r="B62" s="13" t="s">
        <v>101</v>
      </c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</row>
    <row r="63" customFormat="false" ht="15" hidden="false" customHeight="false" outlineLevel="0" collapsed="false">
      <c r="B63" s="7" t="s">
        <v>102</v>
      </c>
      <c r="C63" s="15"/>
      <c r="D63" s="15" t="n">
        <v>40000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9" t="n">
        <f aca="false">SUM(C63:AL63)</f>
        <v>40000</v>
      </c>
    </row>
    <row r="64" customFormat="false" ht="15" hidden="false" customHeight="false" outlineLevel="0" collapsed="false">
      <c r="B64" s="7" t="s">
        <v>103</v>
      </c>
      <c r="C64" s="15"/>
      <c r="D64" s="15"/>
      <c r="E64" s="15" t="n">
        <v>8000</v>
      </c>
      <c r="F64" s="15" t="n">
        <v>8444.44</v>
      </c>
      <c r="G64" s="15" t="n">
        <v>8888.89</v>
      </c>
      <c r="H64" s="15" t="n">
        <v>9333.33</v>
      </c>
      <c r="I64" s="15" t="n">
        <v>9777.78</v>
      </c>
      <c r="J64" s="15" t="n">
        <v>10222.22</v>
      </c>
      <c r="K64" s="15" t="n">
        <v>10666.67</v>
      </c>
      <c r="L64" s="15" t="n">
        <v>11111.11</v>
      </c>
      <c r="M64" s="15" t="n">
        <v>11555.56</v>
      </c>
      <c r="N64" s="15" t="n">
        <v>12000</v>
      </c>
      <c r="O64" s="15" t="n">
        <v>12125</v>
      </c>
      <c r="P64" s="15" t="n">
        <v>12250</v>
      </c>
      <c r="Q64" s="15" t="n">
        <v>12375</v>
      </c>
      <c r="R64" s="15" t="n">
        <v>12500</v>
      </c>
      <c r="S64" s="15" t="n">
        <v>12625</v>
      </c>
      <c r="T64" s="15" t="n">
        <v>12750</v>
      </c>
      <c r="U64" s="15" t="n">
        <v>12875</v>
      </c>
      <c r="V64" s="15" t="n">
        <v>13000</v>
      </c>
      <c r="W64" s="15" t="n">
        <v>13125</v>
      </c>
      <c r="X64" s="15" t="n">
        <v>13250</v>
      </c>
      <c r="Y64" s="15" t="n">
        <v>13375</v>
      </c>
      <c r="Z64" s="15" t="n">
        <v>13500</v>
      </c>
      <c r="AA64" s="15" t="n">
        <v>13625</v>
      </c>
      <c r="AB64" s="15" t="n">
        <v>13750</v>
      </c>
      <c r="AC64" s="15" t="n">
        <v>13875</v>
      </c>
      <c r="AD64" s="15" t="n">
        <v>14000</v>
      </c>
      <c r="AE64" s="15" t="n">
        <v>14125</v>
      </c>
      <c r="AF64" s="15" t="n">
        <v>14250</v>
      </c>
      <c r="AG64" s="15" t="n">
        <v>14375</v>
      </c>
      <c r="AH64" s="15" t="n">
        <v>14500</v>
      </c>
      <c r="AI64" s="15" t="n">
        <v>14625</v>
      </c>
      <c r="AJ64" s="15" t="n">
        <v>14750</v>
      </c>
      <c r="AK64" s="15" t="n">
        <v>14875</v>
      </c>
      <c r="AL64" s="15" t="n">
        <v>15000</v>
      </c>
      <c r="AM64" s="9" t="n">
        <f aca="false">SUM(C64:AL64)</f>
        <v>425500</v>
      </c>
    </row>
    <row r="65" customFormat="false" ht="15" hidden="false" customHeight="false" outlineLevel="0" collapsed="false">
      <c r="B65" s="7" t="s">
        <v>104</v>
      </c>
      <c r="C65" s="15" t="n">
        <v>5000</v>
      </c>
      <c r="D65" s="15" t="n">
        <v>6000</v>
      </c>
      <c r="E65" s="15" t="n">
        <v>7000</v>
      </c>
      <c r="F65" s="15" t="n">
        <v>8000</v>
      </c>
      <c r="G65" s="15" t="n">
        <v>9000</v>
      </c>
      <c r="H65" s="15" t="n">
        <v>10000</v>
      </c>
      <c r="I65" s="15" t="n">
        <v>10000</v>
      </c>
      <c r="J65" s="15" t="n">
        <v>10000</v>
      </c>
      <c r="K65" s="15" t="n">
        <v>10000</v>
      </c>
      <c r="L65" s="15" t="n">
        <v>10000</v>
      </c>
      <c r="M65" s="15" t="n">
        <v>10000</v>
      </c>
      <c r="N65" s="15" t="n">
        <v>10000</v>
      </c>
      <c r="O65" s="15" t="n">
        <v>10000</v>
      </c>
      <c r="P65" s="15" t="n">
        <v>10000</v>
      </c>
      <c r="Q65" s="15" t="n">
        <v>10000</v>
      </c>
      <c r="R65" s="15" t="n">
        <v>10000</v>
      </c>
      <c r="S65" s="15" t="n">
        <v>10000</v>
      </c>
      <c r="T65" s="15" t="n">
        <v>10000</v>
      </c>
      <c r="U65" s="15" t="n">
        <v>10000</v>
      </c>
      <c r="V65" s="15" t="n">
        <v>10000</v>
      </c>
      <c r="W65" s="15" t="n">
        <v>10000</v>
      </c>
      <c r="X65" s="15" t="n">
        <v>10000</v>
      </c>
      <c r="Y65" s="15" t="n">
        <v>10000</v>
      </c>
      <c r="Z65" s="15" t="n">
        <v>10000</v>
      </c>
      <c r="AA65" s="15" t="n">
        <v>10000</v>
      </c>
      <c r="AB65" s="15" t="n">
        <v>10000</v>
      </c>
      <c r="AC65" s="15" t="n">
        <v>10000</v>
      </c>
      <c r="AD65" s="15" t="n">
        <v>10000</v>
      </c>
      <c r="AE65" s="15" t="n">
        <v>10000</v>
      </c>
      <c r="AF65" s="15" t="n">
        <v>10000</v>
      </c>
      <c r="AG65" s="15" t="n">
        <v>10000</v>
      </c>
      <c r="AH65" s="15" t="n">
        <v>10000</v>
      </c>
      <c r="AI65" s="15" t="n">
        <v>10000</v>
      </c>
      <c r="AJ65" s="15" t="n">
        <v>10000</v>
      </c>
      <c r="AK65" s="15" t="n">
        <v>10000</v>
      </c>
      <c r="AL65" s="15" t="n">
        <v>10000</v>
      </c>
      <c r="AM65" s="9" t="n">
        <f aca="false">SUM(C65:AL65)</f>
        <v>345000</v>
      </c>
    </row>
    <row r="66" customFormat="false" ht="15" hidden="false" customHeight="false" outlineLevel="0" collapsed="false">
      <c r="B66" s="7" t="s">
        <v>105</v>
      </c>
      <c r="C66" s="15"/>
      <c r="D66" s="15"/>
      <c r="E66" s="15"/>
      <c r="F66" s="15" t="n">
        <v>18000</v>
      </c>
      <c r="G66" s="15"/>
      <c r="H66" s="15"/>
      <c r="I66" s="15"/>
      <c r="J66" s="15"/>
      <c r="K66" s="15"/>
      <c r="L66" s="15"/>
      <c r="M66" s="15"/>
      <c r="N66" s="15" t="n">
        <v>6000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 t="n">
        <v>6000</v>
      </c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9" t="n">
        <f aca="false">SUM(C66:AL66)</f>
        <v>30000</v>
      </c>
    </row>
    <row r="67" customFormat="false" ht="15" hidden="false" customHeight="false" outlineLevel="0" collapsed="false">
      <c r="B67" s="7" t="s">
        <v>106</v>
      </c>
      <c r="C67" s="15"/>
      <c r="D67" s="15"/>
      <c r="E67" s="15"/>
      <c r="F67" s="15"/>
      <c r="G67" s="15"/>
      <c r="H67" s="15"/>
      <c r="I67" s="15"/>
      <c r="J67" s="15"/>
      <c r="K67" s="15" t="n">
        <v>60000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 t="n">
        <v>30000</v>
      </c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 t="n">
        <v>30000</v>
      </c>
      <c r="AJ67" s="15"/>
      <c r="AK67" s="15"/>
      <c r="AL67" s="15"/>
      <c r="AM67" s="9" t="n">
        <f aca="false">SUM(C67:AL67)</f>
        <v>120000</v>
      </c>
    </row>
    <row r="68" customFormat="false" ht="15" hidden="false" customHeight="false" outlineLevel="0" collapsed="false">
      <c r="B68" s="7" t="s">
        <v>107</v>
      </c>
      <c r="C68" s="15"/>
      <c r="D68" s="15"/>
      <c r="E68" s="15"/>
      <c r="F68" s="15"/>
      <c r="G68" s="15"/>
      <c r="H68" s="15" t="n">
        <v>3000</v>
      </c>
      <c r="I68" s="15" t="n">
        <v>3066.67</v>
      </c>
      <c r="J68" s="15" t="n">
        <v>3133.33</v>
      </c>
      <c r="K68" s="15" t="n">
        <v>3200</v>
      </c>
      <c r="L68" s="15" t="n">
        <v>3266.67</v>
      </c>
      <c r="M68" s="15" t="n">
        <v>3333.33</v>
      </c>
      <c r="N68" s="15" t="n">
        <v>3400</v>
      </c>
      <c r="O68" s="15" t="n">
        <v>3466.67</v>
      </c>
      <c r="P68" s="15" t="n">
        <v>3533.33</v>
      </c>
      <c r="Q68" s="15" t="n">
        <v>3600</v>
      </c>
      <c r="R68" s="15" t="n">
        <v>3666.67</v>
      </c>
      <c r="S68" s="15" t="n">
        <v>3733.33</v>
      </c>
      <c r="T68" s="15" t="n">
        <v>3800</v>
      </c>
      <c r="U68" s="15" t="n">
        <v>3866.67</v>
      </c>
      <c r="V68" s="15" t="n">
        <v>3933.33</v>
      </c>
      <c r="W68" s="15" t="n">
        <v>4000</v>
      </c>
      <c r="X68" s="15" t="n">
        <v>4066.67</v>
      </c>
      <c r="Y68" s="15" t="n">
        <v>4133.33</v>
      </c>
      <c r="Z68" s="15" t="n">
        <v>4200</v>
      </c>
      <c r="AA68" s="15" t="n">
        <v>4266.67</v>
      </c>
      <c r="AB68" s="15" t="n">
        <v>4333.33</v>
      </c>
      <c r="AC68" s="15" t="n">
        <v>4400</v>
      </c>
      <c r="AD68" s="15" t="n">
        <v>4466.67</v>
      </c>
      <c r="AE68" s="15" t="n">
        <v>4533.33</v>
      </c>
      <c r="AF68" s="15" t="n">
        <v>4600</v>
      </c>
      <c r="AG68" s="15" t="n">
        <v>4666.67</v>
      </c>
      <c r="AH68" s="15" t="n">
        <v>4733.33</v>
      </c>
      <c r="AI68" s="15" t="n">
        <v>4800</v>
      </c>
      <c r="AJ68" s="15" t="n">
        <v>4866.67</v>
      </c>
      <c r="AK68" s="15" t="n">
        <v>4933.33</v>
      </c>
      <c r="AL68" s="15" t="n">
        <v>5000</v>
      </c>
      <c r="AM68" s="9" t="n">
        <f aca="false">SUM(C68:AL68)</f>
        <v>124000</v>
      </c>
    </row>
    <row r="69" customFormat="false" ht="15" hidden="false" customHeight="false" outlineLevel="0" collapsed="false">
      <c r="B69" s="10" t="s">
        <v>108</v>
      </c>
      <c r="C69" s="11" t="n">
        <f aca="false">SUM(C63:C68)</f>
        <v>5000</v>
      </c>
      <c r="D69" s="11" t="n">
        <f aca="false">SUM(D63:D68)</f>
        <v>46000</v>
      </c>
      <c r="E69" s="11" t="n">
        <f aca="false">SUM(E63:E68)</f>
        <v>15000</v>
      </c>
      <c r="F69" s="11" t="n">
        <f aca="false">SUM(F63:F68)</f>
        <v>34444.44</v>
      </c>
      <c r="G69" s="11" t="n">
        <f aca="false">SUM(G63:G68)</f>
        <v>17888.89</v>
      </c>
      <c r="H69" s="11" t="n">
        <f aca="false">SUM(H63:H68)</f>
        <v>22333.33</v>
      </c>
      <c r="I69" s="11" t="n">
        <f aca="false">SUM(I63:I68)</f>
        <v>22844.45</v>
      </c>
      <c r="J69" s="11" t="n">
        <f aca="false">SUM(J63:J68)</f>
        <v>23355.55</v>
      </c>
      <c r="K69" s="11" t="n">
        <f aca="false">SUM(K63:K68)</f>
        <v>83866.67</v>
      </c>
      <c r="L69" s="11" t="n">
        <f aca="false">SUM(L63:L68)</f>
        <v>24377.78</v>
      </c>
      <c r="M69" s="11" t="n">
        <f aca="false">SUM(M63:M68)</f>
        <v>24888.89</v>
      </c>
      <c r="N69" s="11" t="n">
        <f aca="false">SUM(N63:N68)</f>
        <v>31400</v>
      </c>
      <c r="O69" s="11" t="n">
        <f aca="false">SUM(O63:O68)</f>
        <v>25591.67</v>
      </c>
      <c r="P69" s="11" t="n">
        <f aca="false">SUM(P63:P68)</f>
        <v>25783.33</v>
      </c>
      <c r="Q69" s="11" t="n">
        <f aca="false">SUM(Q63:Q68)</f>
        <v>25975</v>
      </c>
      <c r="R69" s="11" t="n">
        <f aca="false">SUM(R63:R68)</f>
        <v>26166.67</v>
      </c>
      <c r="S69" s="11" t="n">
        <f aca="false">SUM(S63:S68)</f>
        <v>26358.33</v>
      </c>
      <c r="T69" s="11" t="n">
        <f aca="false">SUM(T63:T68)</f>
        <v>26550</v>
      </c>
      <c r="U69" s="11" t="n">
        <f aca="false">SUM(U63:U68)</f>
        <v>26741.67</v>
      </c>
      <c r="V69" s="11" t="n">
        <f aca="false">SUM(V63:V68)</f>
        <v>26933.33</v>
      </c>
      <c r="W69" s="11" t="n">
        <f aca="false">SUM(W63:W68)</f>
        <v>57125</v>
      </c>
      <c r="X69" s="11" t="n">
        <f aca="false">SUM(X63:X68)</f>
        <v>27316.67</v>
      </c>
      <c r="Y69" s="11" t="n">
        <f aca="false">SUM(Y63:Y68)</f>
        <v>27508.33</v>
      </c>
      <c r="Z69" s="11" t="n">
        <f aca="false">SUM(Z63:Z68)</f>
        <v>33700</v>
      </c>
      <c r="AA69" s="11" t="n">
        <f aca="false">SUM(AA63:AA68)</f>
        <v>27891.67</v>
      </c>
      <c r="AB69" s="11" t="n">
        <f aca="false">SUM(AB63:AB68)</f>
        <v>28083.33</v>
      </c>
      <c r="AC69" s="11" t="n">
        <f aca="false">SUM(AC63:AC68)</f>
        <v>28275</v>
      </c>
      <c r="AD69" s="11" t="n">
        <f aca="false">SUM(AD63:AD68)</f>
        <v>28466.67</v>
      </c>
      <c r="AE69" s="11" t="n">
        <f aca="false">SUM(AE63:AE68)</f>
        <v>28658.33</v>
      </c>
      <c r="AF69" s="11" t="n">
        <f aca="false">SUM(AF63:AF68)</f>
        <v>28850</v>
      </c>
      <c r="AG69" s="11" t="n">
        <f aca="false">SUM(AG63:AG68)</f>
        <v>29041.67</v>
      </c>
      <c r="AH69" s="11" t="n">
        <f aca="false">SUM(AH63:AH68)</f>
        <v>29233.33</v>
      </c>
      <c r="AI69" s="11" t="n">
        <f aca="false">SUM(AI63:AI68)</f>
        <v>59425</v>
      </c>
      <c r="AJ69" s="11" t="n">
        <f aca="false">SUM(AJ63:AJ68)</f>
        <v>29616.67</v>
      </c>
      <c r="AK69" s="11" t="n">
        <f aca="false">SUM(AK63:AK68)</f>
        <v>29808.33</v>
      </c>
      <c r="AL69" s="11" t="n">
        <f aca="false">SUM(AL63:AL68)</f>
        <v>30000</v>
      </c>
      <c r="AM69" s="12" t="n">
        <f aca="false">SUM(C69:AL69)</f>
        <v>1084500</v>
      </c>
    </row>
    <row r="70" customFormat="false" ht="15" hidden="false" customHeight="false" outlineLevel="0" collapsed="false">
      <c r="A70" s="13"/>
      <c r="B70" s="13" t="s">
        <v>109</v>
      </c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</row>
    <row r="71" customFormat="false" ht="15" hidden="false" customHeight="false" outlineLevel="0" collapsed="false">
      <c r="B71" s="7" t="s">
        <v>110</v>
      </c>
      <c r="C71" s="9" t="n">
        <f aca="false">Выручка!C13*$AN71</f>
        <v>0</v>
      </c>
      <c r="D71" s="9" t="n">
        <f aca="false">Выручка!D13*$AN71</f>
        <v>0</v>
      </c>
      <c r="E71" s="9" t="n">
        <f aca="false">Выручка!E13*$AN71</f>
        <v>0</v>
      </c>
      <c r="F71" s="9" t="n">
        <f aca="false">Выручка!F13*$AN71</f>
        <v>0</v>
      </c>
      <c r="G71" s="9" t="n">
        <f aca="false">Выручка!G13*$AN71</f>
        <v>0</v>
      </c>
      <c r="H71" s="9" t="n">
        <f aca="false">Выручка!H13*$AN71</f>
        <v>0</v>
      </c>
      <c r="I71" s="9" t="n">
        <f aca="false">Выручка!I13*$AN71</f>
        <v>0</v>
      </c>
      <c r="J71" s="9" t="n">
        <f aca="false">Выручка!J13*$AN71</f>
        <v>0</v>
      </c>
      <c r="K71" s="9" t="n">
        <f aca="false">Выручка!K13*$AN71</f>
        <v>21665</v>
      </c>
      <c r="L71" s="9" t="n">
        <f aca="false">Выручка!L13*$AN71</f>
        <v>43330</v>
      </c>
      <c r="M71" s="9" t="n">
        <f aca="false">Выручка!M13*$AN71</f>
        <v>64995</v>
      </c>
      <c r="N71" s="9" t="n">
        <f aca="false">Выручка!N13*$AN71</f>
        <v>86660</v>
      </c>
      <c r="O71" s="9" t="n">
        <f aca="false">Выручка!O13*$AN71</f>
        <v>105036.6</v>
      </c>
      <c r="P71" s="9" t="n">
        <f aca="false">Выручка!P13*$AN71</f>
        <v>123413.4</v>
      </c>
      <c r="Q71" s="9" t="n">
        <f aca="false">Выручка!Q13*$AN71</f>
        <v>141790</v>
      </c>
      <c r="R71" s="9" t="n">
        <f aca="false">Выручка!R13*$AN71</f>
        <v>201193.4</v>
      </c>
      <c r="S71" s="9" t="n">
        <f aca="false">Выручка!S13*$AN71</f>
        <v>260596.6</v>
      </c>
      <c r="T71" s="9" t="n">
        <f aca="false">Выручка!T13*$AN71</f>
        <v>320000</v>
      </c>
      <c r="U71" s="9" t="n">
        <f aca="false">Выручка!U13*$AN71</f>
        <v>320000</v>
      </c>
      <c r="V71" s="9" t="n">
        <f aca="false">Выручка!V13*$AN71</f>
        <v>320000</v>
      </c>
      <c r="W71" s="9" t="n">
        <f aca="false">Выручка!W13*$AN71</f>
        <v>320000</v>
      </c>
      <c r="X71" s="9" t="n">
        <f aca="false">Выручка!X13*$AN71</f>
        <v>320000</v>
      </c>
      <c r="Y71" s="9" t="n">
        <f aca="false">Выручка!Y13*$AN71</f>
        <v>320000</v>
      </c>
      <c r="Z71" s="9" t="n">
        <f aca="false">Выручка!Z13*$AN71</f>
        <v>320000</v>
      </c>
      <c r="AA71" s="9" t="n">
        <f aca="false">Выручка!AA13*$AN71</f>
        <v>320000</v>
      </c>
      <c r="AB71" s="9" t="n">
        <f aca="false">Выручка!AB13*$AN71</f>
        <v>320000</v>
      </c>
      <c r="AC71" s="9" t="n">
        <f aca="false">Выручка!AC13*$AN71</f>
        <v>320000</v>
      </c>
      <c r="AD71" s="9" t="n">
        <f aca="false">Выручка!AD13*$AN71</f>
        <v>320000</v>
      </c>
      <c r="AE71" s="9" t="n">
        <f aca="false">Выручка!AE13*$AN71</f>
        <v>320000</v>
      </c>
      <c r="AF71" s="9" t="n">
        <f aca="false">Выручка!AF13*$AN71</f>
        <v>320000</v>
      </c>
      <c r="AG71" s="9" t="n">
        <f aca="false">Выручка!AG13*$AN71</f>
        <v>320000</v>
      </c>
      <c r="AH71" s="9" t="n">
        <f aca="false">Выручка!AH13*$AN71</f>
        <v>320000</v>
      </c>
      <c r="AI71" s="9" t="n">
        <f aca="false">Выручка!AI13*$AN71</f>
        <v>320000</v>
      </c>
      <c r="AJ71" s="9" t="n">
        <f aca="false">Выручка!AJ13*$AN71</f>
        <v>320000</v>
      </c>
      <c r="AK71" s="9" t="n">
        <f aca="false">Выручка!AK13*$AN71</f>
        <v>320000</v>
      </c>
      <c r="AL71" s="9" t="n">
        <f aca="false">Выручка!AL13*$AN71</f>
        <v>320000</v>
      </c>
      <c r="AM71" s="9" t="n">
        <f aca="false">SUM(C71:AL71)</f>
        <v>7128680</v>
      </c>
      <c r="AN71" s="17" t="n">
        <v>0.2</v>
      </c>
    </row>
    <row r="72" customFormat="false" ht="15" hidden="false" customHeight="false" outlineLevel="0" collapsed="false">
      <c r="B72" s="7" t="s">
        <v>111</v>
      </c>
      <c r="C72" s="9" t="n">
        <f aca="false">Выручка!C6*$AN72</f>
        <v>0</v>
      </c>
      <c r="D72" s="9" t="n">
        <f aca="false">Выручка!D6*$AN72</f>
        <v>0</v>
      </c>
      <c r="E72" s="9" t="n">
        <f aca="false">Выручка!E6*$AN72</f>
        <v>0</v>
      </c>
      <c r="F72" s="9" t="n">
        <f aca="false">Выручка!F6*$AN72</f>
        <v>10000</v>
      </c>
      <c r="G72" s="9" t="n">
        <f aca="false">Выручка!G6*$AN72</f>
        <v>15000</v>
      </c>
      <c r="H72" s="9" t="n">
        <f aca="false">Выручка!H6*$AN72</f>
        <v>25000</v>
      </c>
      <c r="I72" s="9" t="n">
        <f aca="false">Выручка!I6*$AN72</f>
        <v>25000</v>
      </c>
      <c r="J72" s="9" t="n">
        <f aca="false">Выручка!J6*$AN72</f>
        <v>30000</v>
      </c>
      <c r="K72" s="9" t="n">
        <f aca="false">Выручка!K6*$AN72</f>
        <v>35000</v>
      </c>
      <c r="L72" s="9" t="n">
        <f aca="false">Выручка!L6*$AN72</f>
        <v>45000</v>
      </c>
      <c r="M72" s="9" t="n">
        <f aca="false">Выручка!M6*$AN72</f>
        <v>55000</v>
      </c>
      <c r="N72" s="9" t="n">
        <f aca="false">Выручка!N6*$AN72</f>
        <v>60000</v>
      </c>
      <c r="O72" s="9" t="n">
        <f aca="false">Выручка!O6*$AN72</f>
        <v>70000</v>
      </c>
      <c r="P72" s="9" t="n">
        <f aca="false">Выручка!P6*$AN72</f>
        <v>75000</v>
      </c>
      <c r="Q72" s="9" t="n">
        <f aca="false">Выручка!Q6*$AN72</f>
        <v>85000</v>
      </c>
      <c r="R72" s="9" t="n">
        <f aca="false">Выручка!R6*$AN72</f>
        <v>90000</v>
      </c>
      <c r="S72" s="9" t="n">
        <f aca="false">Выручка!S6*$AN72</f>
        <v>100000</v>
      </c>
      <c r="T72" s="9" t="n">
        <f aca="false">Выручка!T6*$AN72</f>
        <v>105000</v>
      </c>
      <c r="U72" s="9" t="n">
        <f aca="false">Выручка!U6*$AN72</f>
        <v>105000</v>
      </c>
      <c r="V72" s="9" t="n">
        <f aca="false">Выручка!V6*$AN72</f>
        <v>105000</v>
      </c>
      <c r="W72" s="9" t="n">
        <f aca="false">Выручка!W6*$AN72</f>
        <v>105000</v>
      </c>
      <c r="X72" s="9" t="n">
        <f aca="false">Выручка!X6*$AN72</f>
        <v>105000</v>
      </c>
      <c r="Y72" s="9" t="n">
        <f aca="false">Выручка!Y6*$AN72</f>
        <v>105000</v>
      </c>
      <c r="Z72" s="9" t="n">
        <f aca="false">Выручка!Z6*$AN72</f>
        <v>105000</v>
      </c>
      <c r="AA72" s="9" t="n">
        <f aca="false">Выручка!AA6*$AN72</f>
        <v>105000</v>
      </c>
      <c r="AB72" s="9" t="n">
        <f aca="false">Выручка!AB6*$AN72</f>
        <v>105000</v>
      </c>
      <c r="AC72" s="9" t="n">
        <f aca="false">Выручка!AC6*$AN72</f>
        <v>105000</v>
      </c>
      <c r="AD72" s="9" t="n">
        <f aca="false">Выручка!AD6*$AN72</f>
        <v>105000</v>
      </c>
      <c r="AE72" s="9" t="n">
        <f aca="false">Выручка!AE6*$AN72</f>
        <v>105000</v>
      </c>
      <c r="AF72" s="9" t="n">
        <f aca="false">Выручка!AF6*$AN72</f>
        <v>105000</v>
      </c>
      <c r="AG72" s="9" t="n">
        <f aca="false">Выручка!AG6*$AN72</f>
        <v>105000</v>
      </c>
      <c r="AH72" s="9" t="n">
        <f aca="false">Выручка!AH6*$AN72</f>
        <v>105000</v>
      </c>
      <c r="AI72" s="9" t="n">
        <f aca="false">Выручка!AI6*$AN72</f>
        <v>105000</v>
      </c>
      <c r="AJ72" s="9" t="n">
        <f aca="false">Выручка!AJ6*$AN72</f>
        <v>105000</v>
      </c>
      <c r="AK72" s="9" t="n">
        <f aca="false">Выручка!AK6*$AN72</f>
        <v>105000</v>
      </c>
      <c r="AL72" s="9" t="n">
        <f aca="false">Выручка!AL6*$AN72</f>
        <v>105000</v>
      </c>
      <c r="AM72" s="9" t="n">
        <f aca="false">SUM(C72:AL72)</f>
        <v>2715000</v>
      </c>
      <c r="AN72" s="16" t="n">
        <v>5000</v>
      </c>
    </row>
    <row r="73" customFormat="false" ht="15" hidden="false" customHeight="false" outlineLevel="0" collapsed="false">
      <c r="B73" s="7" t="s">
        <v>112</v>
      </c>
      <c r="C73" s="9" t="n">
        <f aca="false">Выручка!C20*$AN73</f>
        <v>0</v>
      </c>
      <c r="D73" s="9" t="n">
        <f aca="false">Выручка!D20*$AN73</f>
        <v>0</v>
      </c>
      <c r="E73" s="9" t="n">
        <f aca="false">Выручка!E20*$AN73</f>
        <v>600</v>
      </c>
      <c r="F73" s="9" t="n">
        <f aca="false">Выручка!F20*$AN73</f>
        <v>1200</v>
      </c>
      <c r="G73" s="9" t="n">
        <f aca="false">Выручка!G20*$AN73</f>
        <v>1500</v>
      </c>
      <c r="H73" s="9" t="n">
        <f aca="false">Выручка!H20*$AN73</f>
        <v>1800</v>
      </c>
      <c r="I73" s="9" t="n">
        <f aca="false">Выручка!I20*$AN73</f>
        <v>2700</v>
      </c>
      <c r="J73" s="9" t="n">
        <f aca="false">Выручка!J20*$AN73</f>
        <v>3300</v>
      </c>
      <c r="K73" s="9" t="n">
        <f aca="false">Выручка!K20*$AN73</f>
        <v>3900</v>
      </c>
      <c r="L73" s="9" t="n">
        <f aca="false">Выручка!L20*$AN73</f>
        <v>4800</v>
      </c>
      <c r="M73" s="9" t="n">
        <f aca="false">Выручка!M20*$AN73</f>
        <v>5400</v>
      </c>
      <c r="N73" s="9" t="n">
        <f aca="false">Выручка!N20*$AN73</f>
        <v>6000</v>
      </c>
      <c r="O73" s="9" t="n">
        <f aca="false">Выручка!O20*$AN73</f>
        <v>7200</v>
      </c>
      <c r="P73" s="9" t="n">
        <f aca="false">Выручка!P20*$AN73</f>
        <v>8400</v>
      </c>
      <c r="Q73" s="9" t="n">
        <f aca="false">Выручка!Q20*$AN73</f>
        <v>9900</v>
      </c>
      <c r="R73" s="9" t="n">
        <f aca="false">Выручка!R20*$AN73</f>
        <v>11100</v>
      </c>
      <c r="S73" s="9" t="n">
        <f aca="false">Выручка!S20*$AN73</f>
        <v>12300</v>
      </c>
      <c r="T73" s="9" t="n">
        <f aca="false">Выручка!T20*$AN73</f>
        <v>13500</v>
      </c>
      <c r="U73" s="9" t="n">
        <f aca="false">Выручка!U20*$AN73</f>
        <v>13500</v>
      </c>
      <c r="V73" s="9" t="n">
        <f aca="false">Выручка!V20*$AN73</f>
        <v>13500</v>
      </c>
      <c r="W73" s="9" t="n">
        <f aca="false">Выручка!W20*$AN73</f>
        <v>13500</v>
      </c>
      <c r="X73" s="9" t="n">
        <f aca="false">Выручка!X20*$AN73</f>
        <v>13500</v>
      </c>
      <c r="Y73" s="9" t="n">
        <f aca="false">Выручка!Y20*$AN73</f>
        <v>13500</v>
      </c>
      <c r="Z73" s="9" t="n">
        <f aca="false">Выручка!Z20*$AN73</f>
        <v>13500</v>
      </c>
      <c r="AA73" s="9" t="n">
        <f aca="false">Выручка!AA20*$AN73</f>
        <v>13500</v>
      </c>
      <c r="AB73" s="9" t="n">
        <f aca="false">Выручка!AB20*$AN73</f>
        <v>13500</v>
      </c>
      <c r="AC73" s="9" t="n">
        <f aca="false">Выручка!AC20*$AN73</f>
        <v>13500</v>
      </c>
      <c r="AD73" s="9" t="n">
        <f aca="false">Выручка!AD20*$AN73</f>
        <v>13500</v>
      </c>
      <c r="AE73" s="9" t="n">
        <f aca="false">Выручка!AE20*$AN73</f>
        <v>13500</v>
      </c>
      <c r="AF73" s="9" t="n">
        <f aca="false">Выручка!AF20*$AN73</f>
        <v>13500</v>
      </c>
      <c r="AG73" s="9" t="n">
        <f aca="false">Выручка!AG20*$AN73</f>
        <v>13500</v>
      </c>
      <c r="AH73" s="9" t="n">
        <f aca="false">Выручка!AH20*$AN73</f>
        <v>13500</v>
      </c>
      <c r="AI73" s="9" t="n">
        <f aca="false">Выручка!AI20*$AN73</f>
        <v>13500</v>
      </c>
      <c r="AJ73" s="9" t="n">
        <f aca="false">Выручка!AJ20*$AN73</f>
        <v>13500</v>
      </c>
      <c r="AK73" s="9" t="n">
        <f aca="false">Выручка!AK20*$AN73</f>
        <v>13500</v>
      </c>
      <c r="AL73" s="9" t="n">
        <f aca="false">Выручка!AL20*$AN73</f>
        <v>13500</v>
      </c>
      <c r="AM73" s="9" t="n">
        <f aca="false">SUM(C73:AL73)</f>
        <v>336600</v>
      </c>
      <c r="AN73" s="16" t="n">
        <v>300</v>
      </c>
    </row>
    <row r="74" customFormat="false" ht="15" hidden="false" customHeight="false" outlineLevel="0" collapsed="false">
      <c r="B74" s="7" t="s">
        <v>113</v>
      </c>
      <c r="C74" s="9" t="n">
        <f aca="false">Выручка!C6*Выручка!C8*12*$AN74</f>
        <v>0</v>
      </c>
      <c r="D74" s="9" t="n">
        <f aca="false">Выручка!D6*Выручка!D8*12*$AN74</f>
        <v>0</v>
      </c>
      <c r="E74" s="9" t="n">
        <f aca="false">Выручка!E6*Выручка!E8*12*$AN74</f>
        <v>0</v>
      </c>
      <c r="F74" s="9" t="n">
        <f aca="false">Выручка!F6*Выручка!F8*12*$AN74</f>
        <v>0</v>
      </c>
      <c r="G74" s="9" t="n">
        <f aca="false">Выручка!G6*Выручка!G8*12*$AN74</f>
        <v>0</v>
      </c>
      <c r="H74" s="9" t="n">
        <f aca="false">Выручка!H6*Выручка!H8*12*$AN74</f>
        <v>30000</v>
      </c>
      <c r="I74" s="9" t="n">
        <f aca="false">Выручка!I6*Выручка!I8*12*$AN74</f>
        <v>34999.98</v>
      </c>
      <c r="J74" s="9" t="n">
        <f aca="false">Выручка!J6*Выручка!J8*12*$AN74</f>
        <v>48000.024</v>
      </c>
      <c r="K74" s="9" t="n">
        <f aca="false">Выручка!K6*Выручка!K8*12*$AN74</f>
        <v>63000</v>
      </c>
      <c r="L74" s="9" t="n">
        <f aca="false">Выручка!L6*Выручка!L8*12*$AN74</f>
        <v>89999.964</v>
      </c>
      <c r="M74" s="9" t="n">
        <f aca="false">Выручка!M6*Выручка!M8*12*$AN74</f>
        <v>121000.044</v>
      </c>
      <c r="N74" s="9" t="n">
        <f aca="false">Выручка!N6*Выручка!N8*12*$AN74</f>
        <v>144000</v>
      </c>
      <c r="O74" s="9" t="n">
        <f aca="false">Выручка!O6*Выручка!O8*12*$AN74</f>
        <v>181999.944</v>
      </c>
      <c r="P74" s="9" t="n">
        <f aca="false">Выручка!P6*Выручка!P8*12*$AN74</f>
        <v>210000.06</v>
      </c>
      <c r="Q74" s="9" t="n">
        <f aca="false">Выручка!Q6*Выручка!Q8*12*$AN74</f>
        <v>255000</v>
      </c>
      <c r="R74" s="9" t="n">
        <f aca="false">Выручка!R6*Выручка!R8*12*$AN74</f>
        <v>287999.928</v>
      </c>
      <c r="S74" s="9" t="n">
        <f aca="false">Выручка!S6*Выручка!S8*12*$AN74</f>
        <v>340000.08</v>
      </c>
      <c r="T74" s="9" t="n">
        <f aca="false">Выручка!T6*Выручка!T8*12*$AN74</f>
        <v>378000</v>
      </c>
      <c r="U74" s="9" t="n">
        <f aca="false">Выручка!U6*Выручка!U8*12*$AN74</f>
        <v>378000</v>
      </c>
      <c r="V74" s="9" t="n">
        <f aca="false">Выручка!V6*Выручка!V8*12*$AN74</f>
        <v>378000</v>
      </c>
      <c r="W74" s="9" t="n">
        <f aca="false">Выручка!W6*Выручка!W8*12*$AN74</f>
        <v>378000</v>
      </c>
      <c r="X74" s="9" t="n">
        <f aca="false">Выручка!X6*Выручка!X8*12*$AN74</f>
        <v>378000</v>
      </c>
      <c r="Y74" s="9" t="n">
        <f aca="false">Выручка!Y6*Выручка!Y8*12*$AN74</f>
        <v>378000</v>
      </c>
      <c r="Z74" s="9" t="n">
        <f aca="false">Выручка!Z6*Выручка!Z8*12*$AN74</f>
        <v>378000</v>
      </c>
      <c r="AA74" s="9" t="n">
        <f aca="false">Выручка!AA6*Выручка!AA8*12*$AN74</f>
        <v>378000</v>
      </c>
      <c r="AB74" s="9" t="n">
        <f aca="false">Выручка!AB6*Выручка!AB8*12*$AN74</f>
        <v>378000</v>
      </c>
      <c r="AC74" s="9" t="n">
        <f aca="false">Выручка!AC6*Выручка!AC8*12*$AN74</f>
        <v>378000</v>
      </c>
      <c r="AD74" s="9" t="n">
        <f aca="false">Выручка!AD6*Выручка!AD8*12*$AN74</f>
        <v>378000</v>
      </c>
      <c r="AE74" s="9" t="n">
        <f aca="false">Выручка!AE6*Выручка!AE8*12*$AN74</f>
        <v>378000</v>
      </c>
      <c r="AF74" s="9" t="n">
        <f aca="false">Выручка!AF6*Выручка!AF8*12*$AN74</f>
        <v>378000</v>
      </c>
      <c r="AG74" s="9" t="n">
        <f aca="false">Выручка!AG6*Выручка!AG8*12*$AN74</f>
        <v>378000</v>
      </c>
      <c r="AH74" s="9" t="n">
        <f aca="false">Выручка!AH6*Выручка!AH8*12*$AN74</f>
        <v>378000</v>
      </c>
      <c r="AI74" s="9" t="n">
        <f aca="false">Выручка!AI6*Выручка!AI8*12*$AN74</f>
        <v>378000</v>
      </c>
      <c r="AJ74" s="9" t="n">
        <f aca="false">Выручка!AJ6*Выручка!AJ8*12*$AN74</f>
        <v>378000</v>
      </c>
      <c r="AK74" s="9" t="n">
        <f aca="false">Выручка!AK6*Выручка!AK8*12*$AN74</f>
        <v>378000</v>
      </c>
      <c r="AL74" s="9" t="n">
        <f aca="false">Выручка!AL6*Выручка!AL8*12*$AN74</f>
        <v>378000</v>
      </c>
      <c r="AM74" s="9" t="n">
        <f aca="false">SUM(C74:AL74)</f>
        <v>8988000.024</v>
      </c>
      <c r="AN74" s="14" t="n">
        <v>0.1</v>
      </c>
    </row>
    <row r="75" customFormat="false" ht="15" hidden="false" customHeight="false" outlineLevel="0" collapsed="false">
      <c r="B75" s="7" t="s">
        <v>114</v>
      </c>
      <c r="C75" s="15"/>
      <c r="D75" s="15"/>
      <c r="E75" s="15"/>
      <c r="F75" s="15" t="n">
        <v>10000</v>
      </c>
      <c r="G75" s="15" t="n">
        <v>11250</v>
      </c>
      <c r="H75" s="15" t="n">
        <v>12500</v>
      </c>
      <c r="I75" s="15" t="n">
        <v>13750</v>
      </c>
      <c r="J75" s="15" t="n">
        <v>15000</v>
      </c>
      <c r="K75" s="15" t="n">
        <v>16250</v>
      </c>
      <c r="L75" s="15" t="n">
        <v>17500</v>
      </c>
      <c r="M75" s="15" t="n">
        <v>18750</v>
      </c>
      <c r="N75" s="15" t="n">
        <v>20000</v>
      </c>
      <c r="O75" s="15" t="n">
        <v>20208.33</v>
      </c>
      <c r="P75" s="15" t="n">
        <v>20416.67</v>
      </c>
      <c r="Q75" s="15" t="n">
        <v>20625</v>
      </c>
      <c r="R75" s="15" t="n">
        <v>20833.33</v>
      </c>
      <c r="S75" s="15" t="n">
        <v>21041.67</v>
      </c>
      <c r="T75" s="15" t="n">
        <v>21250</v>
      </c>
      <c r="U75" s="15" t="n">
        <v>21458.33</v>
      </c>
      <c r="V75" s="15" t="n">
        <v>21666.67</v>
      </c>
      <c r="W75" s="15" t="n">
        <v>21875</v>
      </c>
      <c r="X75" s="15" t="n">
        <v>22083.33</v>
      </c>
      <c r="Y75" s="15" t="n">
        <v>22291.67</v>
      </c>
      <c r="Z75" s="15" t="n">
        <v>22500</v>
      </c>
      <c r="AA75" s="15" t="n">
        <v>22708.33</v>
      </c>
      <c r="AB75" s="15" t="n">
        <v>22916.67</v>
      </c>
      <c r="AC75" s="15" t="n">
        <v>23125</v>
      </c>
      <c r="AD75" s="15" t="n">
        <v>23333.33</v>
      </c>
      <c r="AE75" s="15" t="n">
        <v>23541.67</v>
      </c>
      <c r="AF75" s="15" t="n">
        <v>23750</v>
      </c>
      <c r="AG75" s="15" t="n">
        <v>23958.33</v>
      </c>
      <c r="AH75" s="15" t="n">
        <v>24166.67</v>
      </c>
      <c r="AI75" s="15" t="n">
        <v>24375</v>
      </c>
      <c r="AJ75" s="15" t="n">
        <v>24583.33</v>
      </c>
      <c r="AK75" s="15" t="n">
        <v>24791.67</v>
      </c>
      <c r="AL75" s="15" t="n">
        <v>25000</v>
      </c>
      <c r="AM75" s="9" t="n">
        <f aca="false">SUM(C75:AL75)</f>
        <v>677500</v>
      </c>
    </row>
    <row r="76" customFormat="false" ht="15" hidden="false" customHeight="false" outlineLevel="0" collapsed="false">
      <c r="B76" s="7" t="s">
        <v>115</v>
      </c>
      <c r="C76" s="15"/>
      <c r="D76" s="15"/>
      <c r="E76" s="15" t="n">
        <v>30000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9" t="n">
        <f aca="false">SUM(C76:AL76)</f>
        <v>30000</v>
      </c>
    </row>
    <row r="77" customFormat="false" ht="15" hidden="false" customHeight="false" outlineLevel="0" collapsed="false">
      <c r="B77" s="7" t="s">
        <v>116</v>
      </c>
      <c r="C77" s="15"/>
      <c r="D77" s="15"/>
      <c r="E77" s="15"/>
      <c r="F77" s="15" t="n">
        <v>2000</v>
      </c>
      <c r="G77" s="15" t="n">
        <v>2000</v>
      </c>
      <c r="H77" s="15" t="n">
        <v>2000</v>
      </c>
      <c r="I77" s="15" t="n">
        <v>2000</v>
      </c>
      <c r="J77" s="15" t="n">
        <v>2000</v>
      </c>
      <c r="K77" s="15" t="n">
        <v>2000</v>
      </c>
      <c r="L77" s="15" t="n">
        <v>2000</v>
      </c>
      <c r="M77" s="15" t="n">
        <v>2000</v>
      </c>
      <c r="N77" s="15" t="n">
        <v>2000</v>
      </c>
      <c r="O77" s="15" t="n">
        <v>2000</v>
      </c>
      <c r="P77" s="15" t="n">
        <v>2000</v>
      </c>
      <c r="Q77" s="15" t="n">
        <v>2000</v>
      </c>
      <c r="R77" s="15" t="n">
        <v>2000</v>
      </c>
      <c r="S77" s="15" t="n">
        <v>2000</v>
      </c>
      <c r="T77" s="15" t="n">
        <v>2000</v>
      </c>
      <c r="U77" s="15" t="n">
        <v>2000</v>
      </c>
      <c r="V77" s="15" t="n">
        <v>2000</v>
      </c>
      <c r="W77" s="15" t="n">
        <v>2000</v>
      </c>
      <c r="X77" s="15" t="n">
        <v>2000</v>
      </c>
      <c r="Y77" s="15" t="n">
        <v>2000</v>
      </c>
      <c r="Z77" s="15" t="n">
        <v>2000</v>
      </c>
      <c r="AA77" s="15" t="n">
        <v>2000</v>
      </c>
      <c r="AB77" s="15" t="n">
        <v>2000</v>
      </c>
      <c r="AC77" s="15" t="n">
        <v>2000</v>
      </c>
      <c r="AD77" s="15" t="n">
        <v>2000</v>
      </c>
      <c r="AE77" s="15" t="n">
        <v>2000</v>
      </c>
      <c r="AF77" s="15" t="n">
        <v>2000</v>
      </c>
      <c r="AG77" s="15" t="n">
        <v>2000</v>
      </c>
      <c r="AH77" s="15" t="n">
        <v>2000</v>
      </c>
      <c r="AI77" s="15" t="n">
        <v>2000</v>
      </c>
      <c r="AJ77" s="15" t="n">
        <v>2000</v>
      </c>
      <c r="AK77" s="15" t="n">
        <v>2000</v>
      </c>
      <c r="AL77" s="15" t="n">
        <v>2000</v>
      </c>
      <c r="AM77" s="9" t="n">
        <f aca="false">SUM(C77:AL77)</f>
        <v>66000</v>
      </c>
    </row>
    <row r="78" customFormat="false" ht="15" hidden="false" customHeight="false" outlineLevel="0" collapsed="false">
      <c r="B78" s="10" t="s">
        <v>117</v>
      </c>
      <c r="C78" s="11" t="n">
        <f aca="false">SUM(C71:C77)</f>
        <v>0</v>
      </c>
      <c r="D78" s="11" t="n">
        <f aca="false">SUM(D71:D77)</f>
        <v>0</v>
      </c>
      <c r="E78" s="11" t="n">
        <f aca="false">SUM(E71:E77)</f>
        <v>30600</v>
      </c>
      <c r="F78" s="11" t="n">
        <f aca="false">SUM(F71:F77)</f>
        <v>23200</v>
      </c>
      <c r="G78" s="11" t="n">
        <f aca="false">SUM(G71:G77)</f>
        <v>29750</v>
      </c>
      <c r="H78" s="11" t="n">
        <f aca="false">SUM(H71:H77)</f>
        <v>71300</v>
      </c>
      <c r="I78" s="11" t="n">
        <f aca="false">SUM(I71:I77)</f>
        <v>78449.98</v>
      </c>
      <c r="J78" s="11" t="n">
        <f aca="false">SUM(J71:J77)</f>
        <v>98300.024</v>
      </c>
      <c r="K78" s="11" t="n">
        <f aca="false">SUM(K71:K77)</f>
        <v>141815</v>
      </c>
      <c r="L78" s="11" t="n">
        <f aca="false">SUM(L71:L77)</f>
        <v>202629.964</v>
      </c>
      <c r="M78" s="11" t="n">
        <f aca="false">SUM(M71:M77)</f>
        <v>267145.044</v>
      </c>
      <c r="N78" s="11" t="n">
        <f aca="false">SUM(N71:N77)</f>
        <v>318660</v>
      </c>
      <c r="O78" s="11" t="n">
        <f aca="false">SUM(O71:O77)</f>
        <v>386444.874</v>
      </c>
      <c r="P78" s="11" t="n">
        <f aca="false">SUM(P71:P77)</f>
        <v>439230.13</v>
      </c>
      <c r="Q78" s="11" t="n">
        <f aca="false">SUM(Q71:Q77)</f>
        <v>514315</v>
      </c>
      <c r="R78" s="11" t="n">
        <f aca="false">SUM(R71:R77)</f>
        <v>613126.658</v>
      </c>
      <c r="S78" s="11" t="n">
        <f aca="false">SUM(S71:S77)</f>
        <v>735938.35</v>
      </c>
      <c r="T78" s="11" t="n">
        <f aca="false">SUM(T71:T77)</f>
        <v>839750</v>
      </c>
      <c r="U78" s="11" t="n">
        <f aca="false">SUM(U71:U77)</f>
        <v>839958.33</v>
      </c>
      <c r="V78" s="11" t="n">
        <f aca="false">SUM(V71:V77)</f>
        <v>840166.67</v>
      </c>
      <c r="W78" s="11" t="n">
        <f aca="false">SUM(W71:W77)</f>
        <v>840375</v>
      </c>
      <c r="X78" s="11" t="n">
        <f aca="false">SUM(X71:X77)</f>
        <v>840583.33</v>
      </c>
      <c r="Y78" s="11" t="n">
        <f aca="false">SUM(Y71:Y77)</f>
        <v>840791.67</v>
      </c>
      <c r="Z78" s="11" t="n">
        <f aca="false">SUM(Z71:Z77)</f>
        <v>841000</v>
      </c>
      <c r="AA78" s="11" t="n">
        <f aca="false">SUM(AA71:AA77)</f>
        <v>841208.33</v>
      </c>
      <c r="AB78" s="11" t="n">
        <f aca="false">SUM(AB71:AB77)</f>
        <v>841416.67</v>
      </c>
      <c r="AC78" s="11" t="n">
        <f aca="false">SUM(AC71:AC77)</f>
        <v>841625</v>
      </c>
      <c r="AD78" s="11" t="n">
        <f aca="false">SUM(AD71:AD77)</f>
        <v>841833.33</v>
      </c>
      <c r="AE78" s="11" t="n">
        <f aca="false">SUM(AE71:AE77)</f>
        <v>842041.67</v>
      </c>
      <c r="AF78" s="11" t="n">
        <f aca="false">SUM(AF71:AF77)</f>
        <v>842250</v>
      </c>
      <c r="AG78" s="11" t="n">
        <f aca="false">SUM(AG71:AG77)</f>
        <v>842458.33</v>
      </c>
      <c r="AH78" s="11" t="n">
        <f aca="false">SUM(AH71:AH77)</f>
        <v>842666.67</v>
      </c>
      <c r="AI78" s="11" t="n">
        <f aca="false">SUM(AI71:AI77)</f>
        <v>842875</v>
      </c>
      <c r="AJ78" s="11" t="n">
        <f aca="false">SUM(AJ71:AJ77)</f>
        <v>843083.33</v>
      </c>
      <c r="AK78" s="11" t="n">
        <f aca="false">SUM(AK71:AK77)</f>
        <v>843291.67</v>
      </c>
      <c r="AL78" s="11" t="n">
        <f aca="false">SUM(AL71:AL77)</f>
        <v>843500</v>
      </c>
      <c r="AM78" s="12" t="n">
        <f aca="false">SUM(C78:AL78)</f>
        <v>19941780.024</v>
      </c>
    </row>
    <row r="79" customFormat="false" ht="15" hidden="false" customHeight="false" outlineLevel="0" collapsed="false">
      <c r="B79" s="7" t="s">
        <v>118</v>
      </c>
      <c r="C79" s="9" t="n">
        <f aca="false">(C20+C53+C54+C55+C61+C69+C78)*$AN79</f>
        <v>6957.5</v>
      </c>
      <c r="D79" s="9" t="n">
        <f aca="false">(D20+D53+D54+D55+D61+D69+D78)*$AN79</f>
        <v>12817.5</v>
      </c>
      <c r="E79" s="9" t="n">
        <f aca="false">(E20+E53+E54+E55+E61+E69+E78)*$AN79</f>
        <v>18430.9285</v>
      </c>
      <c r="F79" s="9" t="n">
        <f aca="false">(F20+F53+F54+F55+F61+F69+F78)*$AN79</f>
        <v>23009.679</v>
      </c>
      <c r="G79" s="9" t="n">
        <f aca="false">(G20+G53+G54+G55+G61+G69+G78)*$AN79</f>
        <v>26575.43</v>
      </c>
      <c r="H79" s="9" t="n">
        <f aca="false">(H20+H53+H54+H55+H61+H69+H78)*$AN79</f>
        <v>33999.981</v>
      </c>
      <c r="I79" s="9" t="n">
        <f aca="false">(I20+I53+I54+I55+I61+I69+I78)*$AN79</f>
        <v>35501.93075</v>
      </c>
      <c r="J79" s="9" t="n">
        <f aca="false">(J20+J53+J54+J55+J61+J69+J78)*$AN79</f>
        <v>41622.68425</v>
      </c>
      <c r="K79" s="9" t="n">
        <f aca="false">(K20+K53+K54+K55+K61+K69+K78)*$AN79</f>
        <v>52899.8585</v>
      </c>
      <c r="L79" s="9" t="n">
        <f aca="false">(L20+L53+L54+L55+L61+L69+L78)*$AN79</f>
        <v>54355.50535</v>
      </c>
      <c r="M79" s="9" t="n">
        <f aca="false">(M20+M53+M54+M55+M61+M69+M78)*$AN79</f>
        <v>62845.3876</v>
      </c>
      <c r="N79" s="9" t="n">
        <f aca="false">(N20+N53+N54+N55+N61+N69+N78)*$AN79</f>
        <v>69173.8335</v>
      </c>
      <c r="O79" s="9" t="n">
        <f aca="false">(O20+O53+O54+O55+O61+O69+O78)*$AN79</f>
        <v>76905.93455</v>
      </c>
      <c r="P79" s="9" t="n">
        <f aca="false">(P20+P53+P54+P55+P61+P69+P78)*$AN79</f>
        <v>85320.24135</v>
      </c>
      <c r="Q79" s="9" t="n">
        <f aca="false">(Q20+Q53+Q54+Q55+Q61+Q69+Q78)*$AN79</f>
        <v>98618.9665</v>
      </c>
      <c r="R79" s="9" t="n">
        <f aca="false">(R20+R53+R54+R55+R61+R69+R78)*$AN79</f>
        <v>109758.5049</v>
      </c>
      <c r="S79" s="9" t="n">
        <f aca="false">(S20+S53+S54+S55+S61+S69+S78)*$AN79</f>
        <v>124794.58795</v>
      </c>
      <c r="T79" s="9" t="n">
        <f aca="false">(T20+T53+T54+T55+T61+T69+T78)*$AN79</f>
        <v>139353.625</v>
      </c>
      <c r="U79" s="9" t="n">
        <f aca="false">(U20+U53+U54+U55+U61+U69+U78)*$AN79</f>
        <v>146059.431</v>
      </c>
      <c r="V79" s="9" t="n">
        <f aca="false">(V20+V53+V54+V55+V61+V69+V78)*$AN79</f>
        <v>152235.1115</v>
      </c>
      <c r="W79" s="9" t="n">
        <f aca="false">(W20+W53+W54+W55+W61+W69+W78)*$AN79</f>
        <v>161392.2915</v>
      </c>
      <c r="X79" s="9" t="n">
        <f aca="false">(X20+X53+X54+X55+X61+X69+X78)*$AN79</f>
        <v>165549.347</v>
      </c>
      <c r="Y79" s="9" t="n">
        <f aca="false">(Y20+Y53+Y54+Y55+Y61+Y69+Y78)*$AN79</f>
        <v>172674.278</v>
      </c>
      <c r="Z79" s="9" t="n">
        <f aca="false">(Z20+Z53+Z54+Z55+Z61+Z69+Z78)*$AN79</f>
        <v>178219.0835</v>
      </c>
      <c r="AA79" s="9" t="n">
        <f aca="false">(AA20+AA53+AA54+AA55+AA61+AA69+AA78)*$AN79</f>
        <v>184155.5135</v>
      </c>
      <c r="AB79" s="9" t="n">
        <f aca="false">(AB20+AB53+AB54+AB55+AB61+AB69+AB78)*$AN79</f>
        <v>189439.569</v>
      </c>
      <c r="AC79" s="9" t="n">
        <f aca="false">(AC20+AC53+AC54+AC55+AC61+AC69+AC78)*$AN79</f>
        <v>197711.875</v>
      </c>
      <c r="AD79" s="9" t="n">
        <f aca="false">(AD20+AD53+AD54+AD55+AD61+AD69+AD78)*$AN79</f>
        <v>202242.431</v>
      </c>
      <c r="AE79" s="9" t="n">
        <f aca="false">(AE20+AE53+AE54+AE55+AE61+AE69+AE78)*$AN79</f>
        <v>207818.6115</v>
      </c>
      <c r="AF79" s="9" t="n">
        <f aca="false">(AF20+AF53+AF54+AF55+AF61+AF69+AF78)*$AN79</f>
        <v>213087.2915</v>
      </c>
      <c r="AG79" s="9" t="n">
        <f aca="false">(AG20+AG53+AG54+AG55+AG61+AG69+AG78)*$AN79</f>
        <v>218227.347</v>
      </c>
      <c r="AH79" s="9" t="n">
        <f aca="false">(AH20+AH53+AH54+AH55+AH61+AH69+AH78)*$AN79</f>
        <v>223882.653</v>
      </c>
      <c r="AI79" s="9" t="n">
        <f aca="false">(AI20+AI53+AI54+AI55+AI61+AI69+AI78)*$AN79</f>
        <v>231046.4585</v>
      </c>
      <c r="AJ79" s="9" t="n">
        <f aca="false">(AJ20+AJ53+AJ54+AJ55+AJ61+AJ69+AJ78)*$AN79</f>
        <v>234421.8885</v>
      </c>
      <c r="AK79" s="9" t="n">
        <f aca="false">(AK20+AK53+AK54+AK55+AK61+AK69+AK78)*$AN79</f>
        <v>239381.819</v>
      </c>
      <c r="AL79" s="9" t="n">
        <f aca="false">(AL20+AL53+AL54+AL55+AL61+AL69+AL78)*$AN79</f>
        <v>243771.375</v>
      </c>
      <c r="AM79" s="9" t="n">
        <f aca="false">SUM(C79:AL79)</f>
        <v>4634258.4537</v>
      </c>
      <c r="AN79" s="14" t="n">
        <v>0.05</v>
      </c>
    </row>
    <row r="80" customFormat="false" ht="15" hidden="false" customHeight="false" outlineLevel="0" collapsed="false">
      <c r="B80" s="10" t="s">
        <v>119</v>
      </c>
      <c r="C80" s="11" t="n">
        <f aca="false">C20+C53+C54+C55+C61+C69+C78+C79</f>
        <v>146107.5</v>
      </c>
      <c r="D80" s="11" t="n">
        <f aca="false">D20+D53+D54+D55+D61+D69+D78+D79</f>
        <v>269167.5</v>
      </c>
      <c r="E80" s="11" t="n">
        <f aca="false">E20+E53+E54+E55+E61+E69+E78+E79</f>
        <v>387049.4985</v>
      </c>
      <c r="F80" s="11" t="n">
        <f aca="false">F20+F53+F54+F55+F61+F69+F78+F79</f>
        <v>483203.259</v>
      </c>
      <c r="G80" s="11" t="n">
        <f aca="false">G20+G53+G54+G55+G61+G69+G78+G79</f>
        <v>558084.03</v>
      </c>
      <c r="H80" s="11" t="n">
        <f aca="false">H20+H53+H54+H55+H61+H69+H78+H79</f>
        <v>713999.601</v>
      </c>
      <c r="I80" s="11" t="n">
        <f aca="false">I20+I53+I54+I55+I61+I69+I78+I79</f>
        <v>745540.54575</v>
      </c>
      <c r="J80" s="11" t="n">
        <f aca="false">J20+J53+J54+J55+J61+J69+J78+J79</f>
        <v>874076.36925</v>
      </c>
      <c r="K80" s="11" t="n">
        <f aca="false">K20+K53+K54+K55+K61+K69+K78+K79</f>
        <v>1110897.0285</v>
      </c>
      <c r="L80" s="11" t="n">
        <f aca="false">L20+L53+L54+L55+L61+L69+L78+L79</f>
        <v>1141465.61235</v>
      </c>
      <c r="M80" s="11" t="n">
        <f aca="false">M20+M53+M54+M55+M61+M69+M78+M79</f>
        <v>1319753.1396</v>
      </c>
      <c r="N80" s="11" t="n">
        <f aca="false">N20+N53+N54+N55+N61+N69+N78+N79</f>
        <v>1452650.5035</v>
      </c>
      <c r="O80" s="11" t="n">
        <f aca="false">O20+O53+O54+O55+O61+O69+O78+O79</f>
        <v>1615024.62555</v>
      </c>
      <c r="P80" s="11" t="n">
        <f aca="false">P20+P53+P54+P55+P61+P69+P78+P79</f>
        <v>1791725.06835</v>
      </c>
      <c r="Q80" s="11" t="n">
        <f aca="false">Q20+Q53+Q54+Q55+Q61+Q69+Q78+Q79</f>
        <v>2070998.2965</v>
      </c>
      <c r="R80" s="11" t="n">
        <f aca="false">R20+R53+R54+R55+R61+R69+R78+R79</f>
        <v>2304928.6029</v>
      </c>
      <c r="S80" s="11" t="n">
        <f aca="false">S20+S53+S54+S55+S61+S69+S78+S79</f>
        <v>2620686.34695</v>
      </c>
      <c r="T80" s="11" t="n">
        <f aca="false">T20+T53+T54+T55+T61+T69+T78+T79</f>
        <v>2926426.125</v>
      </c>
      <c r="U80" s="11" t="n">
        <f aca="false">U20+U53+U54+U55+U61+U69+U78+U79</f>
        <v>3067248.051</v>
      </c>
      <c r="V80" s="11" t="n">
        <f aca="false">V20+V53+V54+V55+V61+V69+V78+V79</f>
        <v>3196937.3415</v>
      </c>
      <c r="W80" s="11" t="n">
        <f aca="false">W20+W53+W54+W55+W61+W69+W78+W79</f>
        <v>3389238.1215</v>
      </c>
      <c r="X80" s="11" t="n">
        <f aca="false">X20+X53+X54+X55+X61+X69+X78+X79</f>
        <v>3476536.287</v>
      </c>
      <c r="Y80" s="11" t="n">
        <f aca="false">Y20+Y53+Y54+Y55+Y61+Y69+Y78+Y79</f>
        <v>3626159.838</v>
      </c>
      <c r="Z80" s="11" t="n">
        <f aca="false">Z20+Z53+Z54+Z55+Z61+Z69+Z78+Z79</f>
        <v>3742600.7535</v>
      </c>
      <c r="AA80" s="11" t="n">
        <f aca="false">AA20+AA53+AA54+AA55+AA61+AA69+AA78+AA79</f>
        <v>3867265.7835</v>
      </c>
      <c r="AB80" s="11" t="n">
        <f aca="false">AB20+AB53+AB54+AB55+AB61+AB69+AB78+AB79</f>
        <v>3978230.949</v>
      </c>
      <c r="AC80" s="11" t="n">
        <f aca="false">AC20+AC53+AC54+AC55+AC61+AC69+AC78+AC79</f>
        <v>4151949.375</v>
      </c>
      <c r="AD80" s="11" t="n">
        <f aca="false">AD20+AD53+AD54+AD55+AD61+AD69+AD78+AD79</f>
        <v>4247091.051</v>
      </c>
      <c r="AE80" s="11" t="n">
        <f aca="false">AE20+AE53+AE54+AE55+AE61+AE69+AE78+AE79</f>
        <v>4364190.8415</v>
      </c>
      <c r="AF80" s="11" t="n">
        <f aca="false">AF20+AF53+AF54+AF55+AF61+AF69+AF78+AF79</f>
        <v>4474833.1215</v>
      </c>
      <c r="AG80" s="11" t="n">
        <f aca="false">AG20+AG53+AG54+AG55+AG61+AG69+AG78+AG79</f>
        <v>4582774.287</v>
      </c>
      <c r="AH80" s="11" t="n">
        <f aca="false">AH20+AH53+AH54+AH55+AH61+AH69+AH78+AH79</f>
        <v>4701535.713</v>
      </c>
      <c r="AI80" s="11" t="n">
        <f aca="false">AI20+AI53+AI54+AI55+AI61+AI69+AI78+AI79</f>
        <v>4851975.6285</v>
      </c>
      <c r="AJ80" s="11" t="n">
        <f aca="false">AJ20+AJ53+AJ54+AJ55+AJ61+AJ69+AJ78+AJ79</f>
        <v>4922859.6585</v>
      </c>
      <c r="AK80" s="11" t="n">
        <f aca="false">AK20+AK53+AK54+AK55+AK61+AK69+AK78+AK79</f>
        <v>5027018.199</v>
      </c>
      <c r="AL80" s="11" t="n">
        <f aca="false">AL20+AL53+AL54+AL55+AL61+AL69+AL78+AL79</f>
        <v>5119198.875</v>
      </c>
      <c r="AM80" s="12" t="n">
        <f aca="false">SUM(C80:AL80)</f>
        <v>97319427.5277</v>
      </c>
    </row>
    <row r="81" customFormat="false" ht="15" hidden="false" customHeight="false" outlineLevel="0" collapsed="false">
      <c r="A81" s="6"/>
      <c r="B81" s="6" t="s">
        <v>120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</row>
    <row r="82" customFormat="false" ht="15" hidden="false" customHeight="false" outlineLevel="0" collapsed="false">
      <c r="B82" s="10" t="s">
        <v>121</v>
      </c>
      <c r="C82" s="11" t="n">
        <f aca="false">C11-C80</f>
        <v>-146107.5</v>
      </c>
      <c r="D82" s="11" t="n">
        <f aca="false">D11-D80</f>
        <v>-265167.5</v>
      </c>
      <c r="E82" s="11" t="n">
        <f aca="false">E11-E80</f>
        <v>-327449.4985</v>
      </c>
      <c r="F82" s="11" t="n">
        <f aca="false">F11-F80</f>
        <v>-419923.259</v>
      </c>
      <c r="G82" s="11" t="n">
        <f aca="false">G11-G80</f>
        <v>-489524.03</v>
      </c>
      <c r="H82" s="11" t="n">
        <f aca="false">H11-H80</f>
        <v>-596319.601</v>
      </c>
      <c r="I82" s="11" t="n">
        <f aca="false">I11-I80</f>
        <v>-528920.59575</v>
      </c>
      <c r="J82" s="11" t="n">
        <f aca="false">J11-J80</f>
        <v>-539676.29925</v>
      </c>
      <c r="K82" s="11" t="n">
        <f aca="false">K11-K80</f>
        <v>-627347.0285</v>
      </c>
      <c r="L82" s="11" t="n">
        <f aca="false">L11-L80</f>
        <v>-514462.40235</v>
      </c>
      <c r="M82" s="11" t="n">
        <f aca="false">M11-M80</f>
        <v>-501512.9796</v>
      </c>
      <c r="N82" s="11" t="n">
        <f aca="false">N11-N80</f>
        <v>-400650.5035</v>
      </c>
      <c r="O82" s="11" t="n">
        <f aca="false">O11-O80</f>
        <v>-234471.53555</v>
      </c>
      <c r="P82" s="11" t="n">
        <f aca="false">P11-P80</f>
        <v>-83414.77835</v>
      </c>
      <c r="Q82" s="11" t="n">
        <f aca="false">Q11-Q80</f>
        <v>81541.7034999998</v>
      </c>
      <c r="R82" s="11" t="n">
        <f aca="false">R11-R80</f>
        <v>367590.9971</v>
      </c>
      <c r="S82" s="11" t="n">
        <f aca="false">S11-S80</f>
        <v>614850.78305</v>
      </c>
      <c r="T82" s="11" t="n">
        <f aca="false">T11-T80</f>
        <v>1002263.875</v>
      </c>
      <c r="U82" s="11" t="n">
        <f aca="false">U11-U80</f>
        <v>1343661.949</v>
      </c>
      <c r="V82" s="11" t="n">
        <f aca="false">V11-V80</f>
        <v>1684982.6585</v>
      </c>
      <c r="W82" s="11" t="n">
        <f aca="false">W11-W80</f>
        <v>1953211.8785</v>
      </c>
      <c r="X82" s="11" t="n">
        <f aca="false">X11-X80</f>
        <v>2318633.713</v>
      </c>
      <c r="Y82" s="11" t="n">
        <f aca="false">Y11-Y80</f>
        <v>2612560.162</v>
      </c>
      <c r="Z82" s="11" t="n">
        <f aca="false">Z11-Z80</f>
        <v>2918059.2465</v>
      </c>
      <c r="AA82" s="11" t="n">
        <f aca="false">AA11-AA80</f>
        <v>3207264.2165</v>
      </c>
      <c r="AB82" s="11" t="n">
        <f aca="false">AB11-AB80</f>
        <v>3504579.051</v>
      </c>
      <c r="AC82" s="11" t="n">
        <f aca="false">AC11-AC80</f>
        <v>3732000.625</v>
      </c>
      <c r="AD82" s="11" t="n">
        <f aca="false">AD11-AD80</f>
        <v>4031258.949</v>
      </c>
      <c r="AE82" s="11" t="n">
        <f aca="false">AE11-AE80</f>
        <v>4304209.1585</v>
      </c>
      <c r="AF82" s="11" t="n">
        <f aca="false">AF11-AF80</f>
        <v>4562616.8785</v>
      </c>
      <c r="AG82" s="11" t="n">
        <f aca="false">AG11-AG80</f>
        <v>4820035.713</v>
      </c>
      <c r="AH82" s="11" t="n">
        <f aca="false">AH11-AH80</f>
        <v>5061254.287</v>
      </c>
      <c r="AI82" s="11" t="n">
        <f aca="false">AI11-AI80</f>
        <v>5267674.3715</v>
      </c>
      <c r="AJ82" s="11" t="n">
        <f aca="false">AJ11-AJ80</f>
        <v>5548780.3415</v>
      </c>
      <c r="AK82" s="11" t="n">
        <f aca="false">AK11-AK80</f>
        <v>5793971.801</v>
      </c>
      <c r="AL82" s="11" t="n">
        <f aca="false">AL11-AL80</f>
        <v>6031711.125</v>
      </c>
      <c r="AM82" s="12" t="n">
        <f aca="false">SUM(C82:AL82)</f>
        <v>65087765.9723</v>
      </c>
    </row>
    <row r="83" customFormat="false" ht="15" hidden="false" customHeight="false" outlineLevel="0" collapsed="false">
      <c r="B83" s="10" t="s">
        <v>122</v>
      </c>
      <c r="C83" s="11" t="n">
        <f aca="false">C82</f>
        <v>-146107.5</v>
      </c>
      <c r="D83" s="11" t="n">
        <f aca="false">C83+D82</f>
        <v>-411275</v>
      </c>
      <c r="E83" s="11" t="n">
        <f aca="false">D83+E82</f>
        <v>-738724.4985</v>
      </c>
      <c r="F83" s="11" t="n">
        <f aca="false">E83+F82</f>
        <v>-1158647.7575</v>
      </c>
      <c r="G83" s="11" t="n">
        <f aca="false">F83+G82</f>
        <v>-1648171.7875</v>
      </c>
      <c r="H83" s="11" t="n">
        <f aca="false">G83+H82</f>
        <v>-2244491.3885</v>
      </c>
      <c r="I83" s="11" t="n">
        <f aca="false">H83+I82</f>
        <v>-2773411.98425</v>
      </c>
      <c r="J83" s="11" t="n">
        <f aca="false">I83+J82</f>
        <v>-3313088.2835</v>
      </c>
      <c r="K83" s="11" t="n">
        <f aca="false">J83+K82</f>
        <v>-3940435.312</v>
      </c>
      <c r="L83" s="11" t="n">
        <f aca="false">K83+L82</f>
        <v>-4454897.71435</v>
      </c>
      <c r="M83" s="11" t="n">
        <f aca="false">L83+M82</f>
        <v>-4956410.69395</v>
      </c>
      <c r="N83" s="11" t="n">
        <f aca="false">M83+N82</f>
        <v>-5357061.19745</v>
      </c>
      <c r="O83" s="11" t="n">
        <f aca="false">N83+O82</f>
        <v>-5591532.733</v>
      </c>
      <c r="P83" s="11" t="n">
        <f aca="false">O83+P82</f>
        <v>-5674947.51135</v>
      </c>
      <c r="Q83" s="11" t="n">
        <f aca="false">P83+Q82</f>
        <v>-5593405.80785</v>
      </c>
      <c r="R83" s="11" t="n">
        <f aca="false">Q83+R82</f>
        <v>-5225814.81075</v>
      </c>
      <c r="S83" s="11" t="n">
        <f aca="false">R83+S82</f>
        <v>-4610964.0277</v>
      </c>
      <c r="T83" s="11" t="n">
        <f aca="false">S83+T82</f>
        <v>-3608700.1527</v>
      </c>
      <c r="U83" s="11" t="n">
        <f aca="false">T83+U82</f>
        <v>-2265038.2037</v>
      </c>
      <c r="V83" s="11" t="n">
        <f aca="false">U83+V82</f>
        <v>-580055.545200001</v>
      </c>
      <c r="W83" s="11" t="n">
        <f aca="false">V83+W82</f>
        <v>1373156.3333</v>
      </c>
      <c r="X83" s="11" t="n">
        <f aca="false">W83+X82</f>
        <v>3691790.0463</v>
      </c>
      <c r="Y83" s="11" t="n">
        <f aca="false">X83+Y82</f>
        <v>6304350.2083</v>
      </c>
      <c r="Z83" s="11" t="n">
        <f aca="false">Y83+Z82</f>
        <v>9222409.4548</v>
      </c>
      <c r="AA83" s="11" t="n">
        <f aca="false">Z83+AA82</f>
        <v>12429673.6713</v>
      </c>
      <c r="AB83" s="11" t="n">
        <f aca="false">AA83+AB82</f>
        <v>15934252.7223</v>
      </c>
      <c r="AC83" s="11" t="n">
        <f aca="false">AB83+AC82</f>
        <v>19666253.3473</v>
      </c>
      <c r="AD83" s="11" t="n">
        <f aca="false">AC83+AD82</f>
        <v>23697512.2963</v>
      </c>
      <c r="AE83" s="11" t="n">
        <f aca="false">AD83+AE82</f>
        <v>28001721.4548</v>
      </c>
      <c r="AF83" s="11" t="n">
        <f aca="false">AE83+AF82</f>
        <v>32564338.3333</v>
      </c>
      <c r="AG83" s="11" t="n">
        <f aca="false">AF83+AG82</f>
        <v>37384374.0463</v>
      </c>
      <c r="AH83" s="11" t="n">
        <f aca="false">AG83+AH82</f>
        <v>42445628.3333</v>
      </c>
      <c r="AI83" s="11" t="n">
        <f aca="false">AH83+AI82</f>
        <v>47713302.7048</v>
      </c>
      <c r="AJ83" s="11" t="n">
        <f aca="false">AI83+AJ82</f>
        <v>53262083.0463</v>
      </c>
      <c r="AK83" s="11" t="n">
        <f aca="false">AJ83+AK82</f>
        <v>59056054.8473</v>
      </c>
      <c r="AL83" s="11" t="n">
        <f aca="false">AK83+AL82</f>
        <v>65087765.9723</v>
      </c>
      <c r="AM83" s="12" t="n">
        <f aca="false">AL83</f>
        <v>65087765.9723</v>
      </c>
    </row>
    <row r="84" customFormat="false" ht="15" hidden="false" customHeight="false" outlineLevel="0" collapsed="false">
      <c r="B84" s="7" t="s">
        <v>123</v>
      </c>
      <c r="C84" s="9" t="n">
        <f aca="false">Рычаги!$B$18+C83</f>
        <v>49853892.5</v>
      </c>
      <c r="D84" s="9" t="n">
        <f aca="false">Рычаги!$B$18+D83</f>
        <v>49588725</v>
      </c>
      <c r="E84" s="9" t="n">
        <f aca="false">Рычаги!$B$18+E83</f>
        <v>49261275.5015</v>
      </c>
      <c r="F84" s="9" t="n">
        <f aca="false">Рычаги!$B$18+F83</f>
        <v>48841352.2425</v>
      </c>
      <c r="G84" s="9" t="n">
        <f aca="false">Рычаги!$B$18+G83</f>
        <v>48351828.2125</v>
      </c>
      <c r="H84" s="9" t="n">
        <f aca="false">Рычаги!$B$18+H83</f>
        <v>47755508.6115</v>
      </c>
      <c r="I84" s="9" t="n">
        <f aca="false">Рычаги!$B$18+I83</f>
        <v>47226588.01575</v>
      </c>
      <c r="J84" s="9" t="n">
        <f aca="false">Рычаги!$B$18+J83</f>
        <v>46686911.7165</v>
      </c>
      <c r="K84" s="9" t="n">
        <f aca="false">Рычаги!$B$18+K83</f>
        <v>46059564.688</v>
      </c>
      <c r="L84" s="9" t="n">
        <f aca="false">Рычаги!$B$18+L83</f>
        <v>45545102.28565</v>
      </c>
      <c r="M84" s="9" t="n">
        <f aca="false">Рычаги!$B$18+M83</f>
        <v>45043589.30605</v>
      </c>
      <c r="N84" s="9" t="n">
        <f aca="false">Рычаги!$B$18+N83</f>
        <v>44642938.80255</v>
      </c>
      <c r="O84" s="9" t="n">
        <f aca="false">Рычаги!$B$18+O83</f>
        <v>44408467.267</v>
      </c>
      <c r="P84" s="9" t="n">
        <f aca="false">Рычаги!$B$18+P83</f>
        <v>44325052.48865</v>
      </c>
      <c r="Q84" s="9" t="n">
        <f aca="false">Рычаги!$B$18+Q83</f>
        <v>44406594.19215</v>
      </c>
      <c r="R84" s="9" t="n">
        <f aca="false">Рычаги!$B$18+R83</f>
        <v>44774185.18925</v>
      </c>
      <c r="S84" s="9" t="n">
        <f aca="false">Рычаги!$B$18+S83</f>
        <v>45389035.9723</v>
      </c>
      <c r="T84" s="9" t="n">
        <f aca="false">Рычаги!$B$18+T83</f>
        <v>46391299.8473</v>
      </c>
      <c r="U84" s="9" t="n">
        <f aca="false">Рычаги!$B$18+U83</f>
        <v>47734961.7963</v>
      </c>
      <c r="V84" s="9" t="n">
        <f aca="false">Рычаги!$B$18+V83</f>
        <v>49419944.4548</v>
      </c>
      <c r="W84" s="9" t="n">
        <f aca="false">Рычаги!$B$18+W83</f>
        <v>51373156.3333</v>
      </c>
      <c r="X84" s="9" t="n">
        <f aca="false">Рычаги!$B$18+X83</f>
        <v>53691790.0463</v>
      </c>
      <c r="Y84" s="9" t="n">
        <f aca="false">Рычаги!$B$18+Y83</f>
        <v>56304350.2083</v>
      </c>
      <c r="Z84" s="9" t="n">
        <f aca="false">Рычаги!$B$18+Z83</f>
        <v>59222409.4548</v>
      </c>
      <c r="AA84" s="9" t="n">
        <f aca="false">Рычаги!$B$18+AA83</f>
        <v>62429673.6713</v>
      </c>
      <c r="AB84" s="9" t="n">
        <f aca="false">Рычаги!$B$18+AB83</f>
        <v>65934252.7223</v>
      </c>
      <c r="AC84" s="9" t="n">
        <f aca="false">Рычаги!$B$18+AC83</f>
        <v>69666253.3473</v>
      </c>
      <c r="AD84" s="9" t="n">
        <f aca="false">Рычаги!$B$18+AD83</f>
        <v>73697512.2963</v>
      </c>
      <c r="AE84" s="9" t="n">
        <f aca="false">Рычаги!$B$18+AE83</f>
        <v>78001721.4548</v>
      </c>
      <c r="AF84" s="9" t="n">
        <f aca="false">Рычаги!$B$18+AF83</f>
        <v>82564338.3333</v>
      </c>
      <c r="AG84" s="9" t="n">
        <f aca="false">Рычаги!$B$18+AG83</f>
        <v>87384374.0463</v>
      </c>
      <c r="AH84" s="9" t="n">
        <f aca="false">Рычаги!$B$18+AH83</f>
        <v>92445628.3333</v>
      </c>
      <c r="AI84" s="9" t="n">
        <f aca="false">Рычаги!$B$18+AI83</f>
        <v>97713302.7048</v>
      </c>
      <c r="AJ84" s="9" t="n">
        <f aca="false">Рычаги!$B$18+AJ83</f>
        <v>103262083.0463</v>
      </c>
      <c r="AK84" s="9" t="n">
        <f aca="false">Рычаги!$B$18+AK83</f>
        <v>109056054.8473</v>
      </c>
      <c r="AL84" s="9" t="n">
        <f aca="false">Рычаги!$B$18+AL83</f>
        <v>115087765.9723</v>
      </c>
      <c r="AM84" s="9" t="n">
        <f aca="false">AL84</f>
        <v>115087765.9723</v>
      </c>
    </row>
    <row r="85" customFormat="false" ht="15" hidden="false" customHeight="false" outlineLevel="0" collapsed="false">
      <c r="B85" s="7" t="s">
        <v>124</v>
      </c>
      <c r="C85" s="9" t="n">
        <f aca="false">IF(COUNTIF(C82:AL82,"&lt;0")=0,1,0)</f>
        <v>0</v>
      </c>
      <c r="D85" s="9" t="n">
        <f aca="false">IF(COUNTIF(D82:AL82,"&lt;0")=0,1,0)</f>
        <v>0</v>
      </c>
      <c r="E85" s="9" t="n">
        <f aca="false">IF(COUNTIF(E82:AL82,"&lt;0")=0,1,0)</f>
        <v>0</v>
      </c>
      <c r="F85" s="9" t="n">
        <f aca="false">IF(COUNTIF(F82:AL82,"&lt;0")=0,1,0)</f>
        <v>0</v>
      </c>
      <c r="G85" s="9" t="n">
        <f aca="false">IF(COUNTIF(G82:AL82,"&lt;0")=0,1,0)</f>
        <v>0</v>
      </c>
      <c r="H85" s="9" t="n">
        <f aca="false">IF(COUNTIF(H82:AL82,"&lt;0")=0,1,0)</f>
        <v>0</v>
      </c>
      <c r="I85" s="9" t="n">
        <f aca="false">IF(COUNTIF(I82:AL82,"&lt;0")=0,1,0)</f>
        <v>0</v>
      </c>
      <c r="J85" s="9" t="n">
        <f aca="false">IF(COUNTIF(J82:AL82,"&lt;0")=0,1,0)</f>
        <v>0</v>
      </c>
      <c r="K85" s="9" t="n">
        <f aca="false">IF(COUNTIF(K82:AL82,"&lt;0")=0,1,0)</f>
        <v>0</v>
      </c>
      <c r="L85" s="9" t="n">
        <f aca="false">IF(COUNTIF(L82:AL82,"&lt;0")=0,1,0)</f>
        <v>0</v>
      </c>
      <c r="M85" s="9" t="n">
        <f aca="false">IF(COUNTIF(M82:AL82,"&lt;0")=0,1,0)</f>
        <v>0</v>
      </c>
      <c r="N85" s="9" t="n">
        <f aca="false">IF(COUNTIF(N82:AL82,"&lt;0")=0,1,0)</f>
        <v>0</v>
      </c>
      <c r="O85" s="9" t="n">
        <f aca="false">IF(COUNTIF(O82:AL82,"&lt;0")=0,1,0)</f>
        <v>0</v>
      </c>
      <c r="P85" s="9" t="n">
        <f aca="false">IF(COUNTIF(P82:AL82,"&lt;0")=0,1,0)</f>
        <v>0</v>
      </c>
      <c r="Q85" s="9" t="n">
        <f aca="false">IF(COUNTIF(Q82:AL82,"&lt;0")=0,1,0)</f>
        <v>1</v>
      </c>
      <c r="R85" s="9" t="n">
        <f aca="false">IF(COUNTIF(R82:AL82,"&lt;0")=0,1,0)</f>
        <v>1</v>
      </c>
      <c r="S85" s="9" t="n">
        <f aca="false">IF(COUNTIF(S82:AL82,"&lt;0")=0,1,0)</f>
        <v>1</v>
      </c>
      <c r="T85" s="9" t="n">
        <f aca="false">IF(COUNTIF(T82:AL82,"&lt;0")=0,1,0)</f>
        <v>1</v>
      </c>
      <c r="U85" s="9" t="n">
        <f aca="false">IF(COUNTIF(U82:AL82,"&lt;0")=0,1,0)</f>
        <v>1</v>
      </c>
      <c r="V85" s="9" t="n">
        <f aca="false">IF(COUNTIF(V82:AL82,"&lt;0")=0,1,0)</f>
        <v>1</v>
      </c>
      <c r="W85" s="9" t="n">
        <f aca="false">IF(COUNTIF(W82:AL82,"&lt;0")=0,1,0)</f>
        <v>1</v>
      </c>
      <c r="X85" s="9" t="n">
        <f aca="false">IF(COUNTIF(X82:AL82,"&lt;0")=0,1,0)</f>
        <v>1</v>
      </c>
      <c r="Y85" s="9" t="n">
        <f aca="false">IF(COUNTIF(Y82:AL82,"&lt;0")=0,1,0)</f>
        <v>1</v>
      </c>
      <c r="Z85" s="9" t="n">
        <f aca="false">IF(COUNTIF(Z82:AL82,"&lt;0")=0,1,0)</f>
        <v>1</v>
      </c>
      <c r="AA85" s="9" t="n">
        <f aca="false">IF(COUNTIF(AA82:AL82,"&lt;0")=0,1,0)</f>
        <v>1</v>
      </c>
      <c r="AB85" s="9" t="n">
        <f aca="false">IF(COUNTIF(AB82:AL82,"&lt;0")=0,1,0)</f>
        <v>1</v>
      </c>
      <c r="AC85" s="9" t="n">
        <f aca="false">IF(COUNTIF(AC82:AL82,"&lt;0")=0,1,0)</f>
        <v>1</v>
      </c>
      <c r="AD85" s="9" t="n">
        <f aca="false">IF(COUNTIF(AD82:AL82,"&lt;0")=0,1,0)</f>
        <v>1</v>
      </c>
      <c r="AE85" s="9" t="n">
        <f aca="false">IF(COUNTIF(AE82:AL82,"&lt;0")=0,1,0)</f>
        <v>1</v>
      </c>
      <c r="AF85" s="9" t="n">
        <f aca="false">IF(COUNTIF(AF82:AL82,"&lt;0")=0,1,0)</f>
        <v>1</v>
      </c>
      <c r="AG85" s="9" t="n">
        <f aca="false">IF(COUNTIF(AG82:AL82,"&lt;0")=0,1,0)</f>
        <v>1</v>
      </c>
      <c r="AH85" s="9" t="n">
        <f aca="false">IF(COUNTIF(AH82:AL82,"&lt;0")=0,1,0)</f>
        <v>1</v>
      </c>
      <c r="AI85" s="9" t="n">
        <f aca="false">IF(COUNTIF(AI82:AL82,"&lt;0")=0,1,0)</f>
        <v>1</v>
      </c>
      <c r="AJ85" s="9" t="n">
        <f aca="false">IF(COUNTIF(AJ82:AL82,"&lt;0")=0,1,0)</f>
        <v>1</v>
      </c>
      <c r="AK85" s="9" t="n">
        <f aca="false">IF(COUNTIF(AK82:AL82,"&lt;0")=0,1,0)</f>
        <v>1</v>
      </c>
      <c r="AL85" s="9" t="n">
        <f aca="false">IF(COUNTIF(AL82:AL82,"&lt;0")=0,1,0)</f>
        <v>1</v>
      </c>
    </row>
    <row r="86" customFormat="false" ht="15" hidden="false" customHeight="false" outlineLevel="0" collapsed="false">
      <c r="B86" s="7" t="s">
        <v>125</v>
      </c>
      <c r="C86" s="9" t="n">
        <f aca="false">IF(AND(1&gt;=MATCH(MIN($C$83:$AL$83),$C$83:$AL$83,0),C83&gt;=0),1,0)</f>
        <v>0</v>
      </c>
      <c r="D86" s="9" t="n">
        <f aca="false">IF(AND(2&gt;=MATCH(MIN($C$83:$AL$83),$C$83:$AL$83,0),D83&gt;=0),1,0)</f>
        <v>0</v>
      </c>
      <c r="E86" s="9" t="n">
        <f aca="false">IF(AND(3&gt;=MATCH(MIN($C$83:$AL$83),$C$83:$AL$83,0),E83&gt;=0),1,0)</f>
        <v>0</v>
      </c>
      <c r="F86" s="9" t="n">
        <f aca="false">IF(AND(4&gt;=MATCH(MIN($C$83:$AL$83),$C$83:$AL$83,0),F83&gt;=0),1,0)</f>
        <v>0</v>
      </c>
      <c r="G86" s="9" t="n">
        <f aca="false">IF(AND(5&gt;=MATCH(MIN($C$83:$AL$83),$C$83:$AL$83,0),G83&gt;=0),1,0)</f>
        <v>0</v>
      </c>
      <c r="H86" s="9" t="n">
        <f aca="false">IF(AND(6&gt;=MATCH(MIN($C$83:$AL$83),$C$83:$AL$83,0),H83&gt;=0),1,0)</f>
        <v>0</v>
      </c>
      <c r="I86" s="9" t="n">
        <f aca="false">IF(AND(7&gt;=MATCH(MIN($C$83:$AL$83),$C$83:$AL$83,0),I83&gt;=0),1,0)</f>
        <v>0</v>
      </c>
      <c r="J86" s="9" t="n">
        <f aca="false">IF(AND(8&gt;=MATCH(MIN($C$83:$AL$83),$C$83:$AL$83,0),J83&gt;=0),1,0)</f>
        <v>0</v>
      </c>
      <c r="K86" s="9" t="n">
        <f aca="false">IF(AND(9&gt;=MATCH(MIN($C$83:$AL$83),$C$83:$AL$83,0),K83&gt;=0),1,0)</f>
        <v>0</v>
      </c>
      <c r="L86" s="9" t="n">
        <f aca="false">IF(AND(10&gt;=MATCH(MIN($C$83:$AL$83),$C$83:$AL$83,0),L83&gt;=0),1,0)</f>
        <v>0</v>
      </c>
      <c r="M86" s="9" t="n">
        <f aca="false">IF(AND(11&gt;=MATCH(MIN($C$83:$AL$83),$C$83:$AL$83,0),M83&gt;=0),1,0)</f>
        <v>0</v>
      </c>
      <c r="N86" s="9" t="n">
        <f aca="false">IF(AND(12&gt;=MATCH(MIN($C$83:$AL$83),$C$83:$AL$83,0),N83&gt;=0),1,0)</f>
        <v>0</v>
      </c>
      <c r="O86" s="9" t="n">
        <f aca="false">IF(AND(13&gt;=MATCH(MIN($C$83:$AL$83),$C$83:$AL$83,0),O83&gt;=0),1,0)</f>
        <v>0</v>
      </c>
      <c r="P86" s="9" t="n">
        <f aca="false">IF(AND(14&gt;=MATCH(MIN($C$83:$AL$83),$C$83:$AL$83,0),P83&gt;=0),1,0)</f>
        <v>0</v>
      </c>
      <c r="Q86" s="9" t="n">
        <f aca="false">IF(AND(15&gt;=MATCH(MIN($C$83:$AL$83),$C$83:$AL$83,0),Q83&gt;=0),1,0)</f>
        <v>0</v>
      </c>
      <c r="R86" s="9" t="n">
        <f aca="false">IF(AND(16&gt;=MATCH(MIN($C$83:$AL$83),$C$83:$AL$83,0),R83&gt;=0),1,0)</f>
        <v>0</v>
      </c>
      <c r="S86" s="9" t="n">
        <f aca="false">IF(AND(17&gt;=MATCH(MIN($C$83:$AL$83),$C$83:$AL$83,0),S83&gt;=0),1,0)</f>
        <v>0</v>
      </c>
      <c r="T86" s="9" t="n">
        <f aca="false">IF(AND(18&gt;=MATCH(MIN($C$83:$AL$83),$C$83:$AL$83,0),T83&gt;=0),1,0)</f>
        <v>0</v>
      </c>
      <c r="U86" s="9" t="n">
        <f aca="false">IF(AND(19&gt;=MATCH(MIN($C$83:$AL$83),$C$83:$AL$83,0),U83&gt;=0),1,0)</f>
        <v>0</v>
      </c>
      <c r="V86" s="9" t="n">
        <f aca="false">IF(AND(20&gt;=MATCH(MIN($C$83:$AL$83),$C$83:$AL$83,0),V83&gt;=0),1,0)</f>
        <v>0</v>
      </c>
      <c r="W86" s="9" t="n">
        <f aca="false">IF(AND(21&gt;=MATCH(MIN($C$83:$AL$83),$C$83:$AL$83,0),W83&gt;=0),1,0)</f>
        <v>1</v>
      </c>
      <c r="X86" s="9" t="n">
        <f aca="false">IF(AND(22&gt;=MATCH(MIN($C$83:$AL$83),$C$83:$AL$83,0),X83&gt;=0),1,0)</f>
        <v>1</v>
      </c>
      <c r="Y86" s="9" t="n">
        <f aca="false">IF(AND(23&gt;=MATCH(MIN($C$83:$AL$83),$C$83:$AL$83,0),Y83&gt;=0),1,0)</f>
        <v>1</v>
      </c>
      <c r="Z86" s="9" t="n">
        <f aca="false">IF(AND(24&gt;=MATCH(MIN($C$83:$AL$83),$C$83:$AL$83,0),Z83&gt;=0),1,0)</f>
        <v>1</v>
      </c>
      <c r="AA86" s="9" t="n">
        <f aca="false">IF(AND(25&gt;=MATCH(MIN($C$83:$AL$83),$C$83:$AL$83,0),AA83&gt;=0),1,0)</f>
        <v>1</v>
      </c>
      <c r="AB86" s="9" t="n">
        <f aca="false">IF(AND(26&gt;=MATCH(MIN($C$83:$AL$83),$C$83:$AL$83,0),AB83&gt;=0),1,0)</f>
        <v>1</v>
      </c>
      <c r="AC86" s="9" t="n">
        <f aca="false">IF(AND(27&gt;=MATCH(MIN($C$83:$AL$83),$C$83:$AL$83,0),AC83&gt;=0),1,0)</f>
        <v>1</v>
      </c>
      <c r="AD86" s="9" t="n">
        <f aca="false">IF(AND(28&gt;=MATCH(MIN($C$83:$AL$83),$C$83:$AL$83,0),AD83&gt;=0),1,0)</f>
        <v>1</v>
      </c>
      <c r="AE86" s="9" t="n">
        <f aca="false">IF(AND(29&gt;=MATCH(MIN($C$83:$AL$83),$C$83:$AL$83,0),AE83&gt;=0),1,0)</f>
        <v>1</v>
      </c>
      <c r="AF86" s="9" t="n">
        <f aca="false">IF(AND(30&gt;=MATCH(MIN($C$83:$AL$83),$C$83:$AL$83,0),AF83&gt;=0),1,0)</f>
        <v>1</v>
      </c>
      <c r="AG86" s="9" t="n">
        <f aca="false">IF(AND(31&gt;=MATCH(MIN($C$83:$AL$83),$C$83:$AL$83,0),AG83&gt;=0),1,0)</f>
        <v>1</v>
      </c>
      <c r="AH86" s="9" t="n">
        <f aca="false">IF(AND(32&gt;=MATCH(MIN($C$83:$AL$83),$C$83:$AL$83,0),AH83&gt;=0),1,0)</f>
        <v>1</v>
      </c>
      <c r="AI86" s="9" t="n">
        <f aca="false">IF(AND(33&gt;=MATCH(MIN($C$83:$AL$83),$C$83:$AL$83,0),AI83&gt;=0),1,0)</f>
        <v>1</v>
      </c>
      <c r="AJ86" s="9" t="n">
        <f aca="false">IF(AND(34&gt;=MATCH(MIN($C$83:$AL$83),$C$83:$AL$83,0),AJ83&gt;=0),1,0)</f>
        <v>1</v>
      </c>
      <c r="AK86" s="9" t="n">
        <f aca="false">IF(AND(35&gt;=MATCH(MIN($C$83:$AL$83),$C$83:$AL$83,0),AK83&gt;=0),1,0)</f>
        <v>1</v>
      </c>
      <c r="AL86" s="9" t="n">
        <f aca="false">IF(AND(36&gt;=MATCH(MIN($C$83:$AL$83),$C$83:$AL$83,0),AL83&gt;=0),1,0)</f>
        <v>1</v>
      </c>
    </row>
    <row r="87" customFormat="false" ht="15" hidden="false" customHeight="false" outlineLevel="0" collapsed="false">
      <c r="A87" s="6"/>
      <c r="B87" s="6" t="s">
        <v>126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 customFormat="false" ht="15" hidden="false" customHeight="false" outlineLevel="0" collapsed="false">
      <c r="B88" s="7" t="s">
        <v>127</v>
      </c>
      <c r="C88" s="9" t="n">
        <f aca="false">MAX(0,C82)</f>
        <v>0</v>
      </c>
      <c r="D88" s="9" t="n">
        <f aca="false">MAX(0,D82)</f>
        <v>0</v>
      </c>
      <c r="E88" s="9" t="n">
        <f aca="false">MAX(0,E82)</f>
        <v>0</v>
      </c>
      <c r="F88" s="9" t="n">
        <f aca="false">MAX(0,F82)</f>
        <v>0</v>
      </c>
      <c r="G88" s="9" t="n">
        <f aca="false">MAX(0,G82)</f>
        <v>0</v>
      </c>
      <c r="H88" s="9" t="n">
        <f aca="false">MAX(0,H82)</f>
        <v>0</v>
      </c>
      <c r="I88" s="9" t="n">
        <f aca="false">MAX(0,I82)</f>
        <v>0</v>
      </c>
      <c r="J88" s="9" t="n">
        <f aca="false">MAX(0,J82)</f>
        <v>0</v>
      </c>
      <c r="K88" s="9" t="n">
        <f aca="false">MAX(0,K82)</f>
        <v>0</v>
      </c>
      <c r="L88" s="9" t="n">
        <f aca="false">MAX(0,L82)</f>
        <v>0</v>
      </c>
      <c r="M88" s="9" t="n">
        <f aca="false">MAX(0,M82)</f>
        <v>0</v>
      </c>
      <c r="N88" s="9" t="n">
        <f aca="false">MAX(0,N82)</f>
        <v>0</v>
      </c>
      <c r="O88" s="9" t="n">
        <f aca="false">MAX(0,O82)</f>
        <v>0</v>
      </c>
      <c r="P88" s="9" t="n">
        <f aca="false">MAX(0,P82)</f>
        <v>0</v>
      </c>
      <c r="Q88" s="9" t="n">
        <f aca="false">MAX(0,Q82)</f>
        <v>81541.7034999998</v>
      </c>
      <c r="R88" s="9" t="n">
        <f aca="false">MAX(0,R82)</f>
        <v>367590.9971</v>
      </c>
      <c r="S88" s="9" t="n">
        <f aca="false">MAX(0,S82)</f>
        <v>614850.78305</v>
      </c>
      <c r="T88" s="9" t="n">
        <f aca="false">MAX(0,T82)</f>
        <v>1002263.875</v>
      </c>
      <c r="U88" s="9" t="n">
        <f aca="false">MAX(0,U82)</f>
        <v>1343661.949</v>
      </c>
      <c r="V88" s="9" t="n">
        <f aca="false">MAX(0,V82)</f>
        <v>1684982.6585</v>
      </c>
      <c r="W88" s="9" t="n">
        <f aca="false">MAX(0,W82)</f>
        <v>1953211.8785</v>
      </c>
      <c r="X88" s="9" t="n">
        <f aca="false">MAX(0,X82)</f>
        <v>2318633.713</v>
      </c>
      <c r="Y88" s="9" t="n">
        <f aca="false">MAX(0,Y82)</f>
        <v>2612560.162</v>
      </c>
      <c r="Z88" s="9" t="n">
        <f aca="false">MAX(0,Z82)</f>
        <v>2918059.2465</v>
      </c>
      <c r="AA88" s="9" t="n">
        <f aca="false">MAX(0,AA82)</f>
        <v>3207264.2165</v>
      </c>
      <c r="AB88" s="9" t="n">
        <f aca="false">MAX(0,AB82)</f>
        <v>3504579.051</v>
      </c>
      <c r="AC88" s="9" t="n">
        <f aca="false">MAX(0,AC82)</f>
        <v>3732000.625</v>
      </c>
      <c r="AD88" s="9" t="n">
        <f aca="false">MAX(0,AD82)</f>
        <v>4031258.949</v>
      </c>
      <c r="AE88" s="9" t="n">
        <f aca="false">MAX(0,AE82)</f>
        <v>4304209.1585</v>
      </c>
      <c r="AF88" s="9" t="n">
        <f aca="false">MAX(0,AF82)</f>
        <v>4562616.8785</v>
      </c>
      <c r="AG88" s="9" t="n">
        <f aca="false">MAX(0,AG82)</f>
        <v>4820035.713</v>
      </c>
      <c r="AH88" s="9" t="n">
        <f aca="false">MAX(0,AH82)</f>
        <v>5061254.287</v>
      </c>
      <c r="AI88" s="9" t="n">
        <f aca="false">MAX(0,AI82)</f>
        <v>5267674.3715</v>
      </c>
      <c r="AJ88" s="9" t="n">
        <f aca="false">MAX(0,AJ82)</f>
        <v>5548780.3415</v>
      </c>
      <c r="AK88" s="9" t="n">
        <f aca="false">MAX(0,AK82)</f>
        <v>5793971.801</v>
      </c>
      <c r="AL88" s="9" t="n">
        <f aca="false">MAX(0,AL82)</f>
        <v>6031711.125</v>
      </c>
      <c r="AM88" s="9" t="n">
        <f aca="false">SUM(C88:AL88)</f>
        <v>70762713.48365</v>
      </c>
    </row>
    <row r="89" customFormat="false" ht="15" hidden="false" customHeight="false" outlineLevel="0" collapsed="false">
      <c r="B89" s="7" t="s">
        <v>128</v>
      </c>
      <c r="C89" s="9" t="n">
        <f aca="false">C88*$AN89</f>
        <v>0</v>
      </c>
      <c r="D89" s="9" t="n">
        <f aca="false">D88*$AN89</f>
        <v>0</v>
      </c>
      <c r="E89" s="9" t="n">
        <f aca="false">E88*$AN89</f>
        <v>0</v>
      </c>
      <c r="F89" s="9" t="n">
        <f aca="false">F88*$AN89</f>
        <v>0</v>
      </c>
      <c r="G89" s="9" t="n">
        <f aca="false">G88*$AN89</f>
        <v>0</v>
      </c>
      <c r="H89" s="9" t="n">
        <f aca="false">H88*$AN89</f>
        <v>0</v>
      </c>
      <c r="I89" s="9" t="n">
        <f aca="false">I88*$AN89</f>
        <v>0</v>
      </c>
      <c r="J89" s="9" t="n">
        <f aca="false">J88*$AN89</f>
        <v>0</v>
      </c>
      <c r="K89" s="9" t="n">
        <f aca="false">K88*$AN89</f>
        <v>0</v>
      </c>
      <c r="L89" s="9" t="n">
        <f aca="false">L88*$AN89</f>
        <v>0</v>
      </c>
      <c r="M89" s="9" t="n">
        <f aca="false">M88*$AN89</f>
        <v>0</v>
      </c>
      <c r="N89" s="9" t="n">
        <f aca="false">N88*$AN89</f>
        <v>0</v>
      </c>
      <c r="O89" s="9" t="n">
        <f aca="false">O88*$AN89</f>
        <v>0</v>
      </c>
      <c r="P89" s="9" t="n">
        <f aca="false">P88*$AN89</f>
        <v>0</v>
      </c>
      <c r="Q89" s="9" t="n">
        <f aca="false">Q88*$AN89</f>
        <v>81541.7034999998</v>
      </c>
      <c r="R89" s="9" t="n">
        <f aca="false">R88*$AN89</f>
        <v>367590.9971</v>
      </c>
      <c r="S89" s="9" t="n">
        <f aca="false">S88*$AN89</f>
        <v>614850.78305</v>
      </c>
      <c r="T89" s="9" t="n">
        <f aca="false">T88*$AN89</f>
        <v>1002263.875</v>
      </c>
      <c r="U89" s="9" t="n">
        <f aca="false">U88*$AN89</f>
        <v>1343661.949</v>
      </c>
      <c r="V89" s="9" t="n">
        <f aca="false">V88*$AN89</f>
        <v>1684982.6585</v>
      </c>
      <c r="W89" s="9" t="n">
        <f aca="false">W88*$AN89</f>
        <v>1953211.8785</v>
      </c>
      <c r="X89" s="9" t="n">
        <f aca="false">X88*$AN89</f>
        <v>2318633.713</v>
      </c>
      <c r="Y89" s="9" t="n">
        <f aca="false">Y88*$AN89</f>
        <v>2612560.162</v>
      </c>
      <c r="Z89" s="9" t="n">
        <f aca="false">Z88*$AN89</f>
        <v>2918059.2465</v>
      </c>
      <c r="AA89" s="9" t="n">
        <f aca="false">AA88*$AN89</f>
        <v>3207264.2165</v>
      </c>
      <c r="AB89" s="9" t="n">
        <f aca="false">AB88*$AN89</f>
        <v>3504579.051</v>
      </c>
      <c r="AC89" s="9" t="n">
        <f aca="false">AC88*$AN89</f>
        <v>3732000.625</v>
      </c>
      <c r="AD89" s="9" t="n">
        <f aca="false">AD88*$AN89</f>
        <v>4031258.949</v>
      </c>
      <c r="AE89" s="9" t="n">
        <f aca="false">AE88*$AN89</f>
        <v>4304209.1585</v>
      </c>
      <c r="AF89" s="9" t="n">
        <f aca="false">AF88*$AN89</f>
        <v>4562616.8785</v>
      </c>
      <c r="AG89" s="9" t="n">
        <f aca="false">AG88*$AN89</f>
        <v>4820035.713</v>
      </c>
      <c r="AH89" s="9" t="n">
        <f aca="false">AH88*$AN89</f>
        <v>5061254.287</v>
      </c>
      <c r="AI89" s="9" t="n">
        <f aca="false">AI88*$AN89</f>
        <v>5267674.3715</v>
      </c>
      <c r="AJ89" s="9" t="n">
        <f aca="false">AJ88*$AN89</f>
        <v>5548780.3415</v>
      </c>
      <c r="AK89" s="9" t="n">
        <f aca="false">AK88*$AN89</f>
        <v>5793971.801</v>
      </c>
      <c r="AL89" s="9" t="n">
        <f aca="false">AL88*$AN89</f>
        <v>6031711.125</v>
      </c>
      <c r="AM89" s="9" t="n">
        <f aca="false">SUM(C89:AL89)</f>
        <v>70762713.48365</v>
      </c>
      <c r="AN89" s="18" t="n">
        <v>1</v>
      </c>
    </row>
    <row r="90" customFormat="false" ht="15" hidden="false" customHeight="false" outlineLevel="0" collapsed="false">
      <c r="B90" s="7" t="s">
        <v>129</v>
      </c>
      <c r="C90" s="9" t="n">
        <f aca="false">C88*$AN90</f>
        <v>0</v>
      </c>
      <c r="D90" s="9" t="n">
        <f aca="false">D88*$AN90</f>
        <v>0</v>
      </c>
      <c r="E90" s="9" t="n">
        <f aca="false">E88*$AN90</f>
        <v>0</v>
      </c>
      <c r="F90" s="9" t="n">
        <f aca="false">F88*$AN90</f>
        <v>0</v>
      </c>
      <c r="G90" s="9" t="n">
        <f aca="false">G88*$AN90</f>
        <v>0</v>
      </c>
      <c r="H90" s="9" t="n">
        <f aca="false">H88*$AN90</f>
        <v>0</v>
      </c>
      <c r="I90" s="9" t="n">
        <f aca="false">I88*$AN90</f>
        <v>0</v>
      </c>
      <c r="J90" s="9" t="n">
        <f aca="false">J88*$AN90</f>
        <v>0</v>
      </c>
      <c r="K90" s="9" t="n">
        <f aca="false">K88*$AN90</f>
        <v>0</v>
      </c>
      <c r="L90" s="9" t="n">
        <f aca="false">L88*$AN90</f>
        <v>0</v>
      </c>
      <c r="M90" s="9" t="n">
        <f aca="false">M88*$AN90</f>
        <v>0</v>
      </c>
      <c r="N90" s="9" t="n">
        <f aca="false">N88*$AN90</f>
        <v>0</v>
      </c>
      <c r="O90" s="9" t="n">
        <f aca="false">O88*$AN90</f>
        <v>0</v>
      </c>
      <c r="P90" s="9" t="n">
        <f aca="false">P88*$AN90</f>
        <v>0</v>
      </c>
      <c r="Q90" s="9" t="n">
        <f aca="false">Q88*$AN90</f>
        <v>0</v>
      </c>
      <c r="R90" s="9" t="n">
        <f aca="false">R88*$AN90</f>
        <v>0</v>
      </c>
      <c r="S90" s="9" t="n">
        <f aca="false">S88*$AN90</f>
        <v>0</v>
      </c>
      <c r="T90" s="9" t="n">
        <f aca="false">T88*$AN90</f>
        <v>0</v>
      </c>
      <c r="U90" s="9" t="n">
        <f aca="false">U88*$AN90</f>
        <v>0</v>
      </c>
      <c r="V90" s="9" t="n">
        <f aca="false">V88*$AN90</f>
        <v>0</v>
      </c>
      <c r="W90" s="9" t="n">
        <f aca="false">W88*$AN90</f>
        <v>0</v>
      </c>
      <c r="X90" s="9" t="n">
        <f aca="false">X88*$AN90</f>
        <v>0</v>
      </c>
      <c r="Y90" s="9" t="n">
        <f aca="false">Y88*$AN90</f>
        <v>0</v>
      </c>
      <c r="Z90" s="9" t="n">
        <f aca="false">Z88*$AN90</f>
        <v>0</v>
      </c>
      <c r="AA90" s="9" t="n">
        <f aca="false">AA88*$AN90</f>
        <v>0</v>
      </c>
      <c r="AB90" s="9" t="n">
        <f aca="false">AB88*$AN90</f>
        <v>0</v>
      </c>
      <c r="AC90" s="9" t="n">
        <f aca="false">AC88*$AN90</f>
        <v>0</v>
      </c>
      <c r="AD90" s="9" t="n">
        <f aca="false">AD88*$AN90</f>
        <v>0</v>
      </c>
      <c r="AE90" s="9" t="n">
        <f aca="false">AE88*$AN90</f>
        <v>0</v>
      </c>
      <c r="AF90" s="9" t="n">
        <f aca="false">AF88*$AN90</f>
        <v>0</v>
      </c>
      <c r="AG90" s="9" t="n">
        <f aca="false">AG88*$AN90</f>
        <v>0</v>
      </c>
      <c r="AH90" s="9" t="n">
        <f aca="false">AH88*$AN90</f>
        <v>0</v>
      </c>
      <c r="AI90" s="9" t="n">
        <f aca="false">AI88*$AN90</f>
        <v>0</v>
      </c>
      <c r="AJ90" s="9" t="n">
        <f aca="false">AJ88*$AN90</f>
        <v>0</v>
      </c>
      <c r="AK90" s="9" t="n">
        <f aca="false">AK88*$AN90</f>
        <v>0</v>
      </c>
      <c r="AL90" s="9" t="n">
        <f aca="false">AL88*$AN90</f>
        <v>0</v>
      </c>
      <c r="AM90" s="9" t="n">
        <f aca="false">SUM(C90:AL90)</f>
        <v>0</v>
      </c>
      <c r="AN90" s="18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8" min="3" style="0" width="6"/>
    <col collapsed="false" customWidth="true" hidden="false" outlineLevel="0" max="39" min="39" style="0" width="13"/>
    <col collapsed="false" customWidth="true" hidden="false" outlineLevel="0" max="40" min="40" style="0" width="9"/>
  </cols>
  <sheetData>
    <row r="1" customFormat="false" ht="16.1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3" customFormat="false" ht="15" hidden="false" customHeight="false" outlineLevel="0" collapsed="false">
      <c r="C3" s="3" t="s">
        <v>2</v>
      </c>
      <c r="O3" s="3" t="s">
        <v>3</v>
      </c>
      <c r="AA3" s="3" t="s">
        <v>4</v>
      </c>
    </row>
    <row r="4" customFormat="false" ht="15" hidden="false" customHeight="false" outlineLevel="0" collapsed="false">
      <c r="A4" s="4" t="s">
        <v>132</v>
      </c>
      <c r="B4" s="4" t="s">
        <v>133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5" t="s">
        <v>20</v>
      </c>
      <c r="R4" s="5" t="s">
        <v>21</v>
      </c>
      <c r="S4" s="5" t="s">
        <v>22</v>
      </c>
      <c r="T4" s="5" t="s">
        <v>23</v>
      </c>
      <c r="U4" s="5" t="s">
        <v>24</v>
      </c>
      <c r="V4" s="5" t="s">
        <v>25</v>
      </c>
      <c r="W4" s="5" t="s">
        <v>26</v>
      </c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 t="s">
        <v>35</v>
      </c>
      <c r="AG4" s="5" t="s">
        <v>36</v>
      </c>
      <c r="AH4" s="5" t="s">
        <v>37</v>
      </c>
      <c r="AI4" s="5" t="s">
        <v>38</v>
      </c>
      <c r="AJ4" s="5" t="s">
        <v>39</v>
      </c>
      <c r="AK4" s="5" t="s">
        <v>40</v>
      </c>
      <c r="AL4" s="5" t="s">
        <v>41</v>
      </c>
      <c r="AM4" s="5" t="s">
        <v>134</v>
      </c>
    </row>
    <row r="5" customFormat="false" ht="15" hidden="false" customHeight="false" outlineLevel="0" collapsed="false">
      <c r="A5" s="13"/>
      <c r="B5" s="13" t="s">
        <v>135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 customFormat="false" ht="15" hidden="false" customHeight="false" outlineLevel="0" collapsed="false">
      <c r="A6" s="15" t="n">
        <v>7000</v>
      </c>
      <c r="B6" s="7" t="s">
        <v>136</v>
      </c>
      <c r="C6" s="19" t="n">
        <v>3</v>
      </c>
      <c r="D6" s="19" t="n">
        <v>3</v>
      </c>
      <c r="E6" s="19" t="n">
        <v>3</v>
      </c>
      <c r="F6" s="19" t="n">
        <v>3</v>
      </c>
      <c r="G6" s="19" t="n">
        <v>3</v>
      </c>
      <c r="H6" s="19" t="n">
        <v>3</v>
      </c>
      <c r="I6" s="19" t="n">
        <v>3</v>
      </c>
      <c r="J6" s="19" t="n">
        <v>3</v>
      </c>
      <c r="K6" s="19" t="n">
        <v>3</v>
      </c>
      <c r="L6" s="19" t="n">
        <v>3</v>
      </c>
      <c r="M6" s="19" t="n">
        <v>3</v>
      </c>
      <c r="N6" s="19" t="n">
        <v>3</v>
      </c>
      <c r="O6" s="19" t="n">
        <v>3</v>
      </c>
      <c r="P6" s="19" t="n">
        <v>3</v>
      </c>
      <c r="Q6" s="19" t="n">
        <v>3</v>
      </c>
      <c r="R6" s="19" t="n">
        <v>3</v>
      </c>
      <c r="S6" s="19" t="n">
        <v>3</v>
      </c>
      <c r="T6" s="19" t="n">
        <v>3</v>
      </c>
      <c r="U6" s="19" t="n">
        <v>3</v>
      </c>
      <c r="V6" s="19" t="n">
        <v>3</v>
      </c>
      <c r="W6" s="19" t="n">
        <v>3</v>
      </c>
      <c r="X6" s="19" t="n">
        <v>3</v>
      </c>
      <c r="Y6" s="19" t="n">
        <v>3</v>
      </c>
      <c r="Z6" s="19" t="n">
        <v>3</v>
      </c>
      <c r="AA6" s="19" t="n">
        <v>3</v>
      </c>
      <c r="AB6" s="19" t="n">
        <v>3</v>
      </c>
      <c r="AC6" s="19" t="n">
        <v>3</v>
      </c>
      <c r="AD6" s="19" t="n">
        <v>3</v>
      </c>
      <c r="AE6" s="19" t="n">
        <v>3</v>
      </c>
      <c r="AF6" s="19" t="n">
        <v>3</v>
      </c>
      <c r="AG6" s="19" t="n">
        <v>3</v>
      </c>
      <c r="AH6" s="19" t="n">
        <v>3</v>
      </c>
      <c r="AI6" s="19" t="n">
        <v>3</v>
      </c>
      <c r="AJ6" s="19" t="n">
        <v>3</v>
      </c>
      <c r="AK6" s="19" t="n">
        <v>3</v>
      </c>
      <c r="AL6" s="19" t="n">
        <v>3</v>
      </c>
      <c r="AM6" s="20"/>
    </row>
    <row r="7" customFormat="false" ht="15" hidden="false" customHeight="false" outlineLevel="0" collapsed="false">
      <c r="A7" s="15" t="n">
        <v>12500</v>
      </c>
      <c r="B7" s="7" t="s">
        <v>137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20" t="s">
        <v>138</v>
      </c>
    </row>
    <row r="8" customFormat="false" ht="15" hidden="false" customHeight="false" outlineLevel="0" collapsed="false">
      <c r="A8" s="15" t="n">
        <v>12500</v>
      </c>
      <c r="B8" s="7" t="s">
        <v>139</v>
      </c>
      <c r="C8" s="19" t="n">
        <v>1</v>
      </c>
      <c r="D8" s="19" t="n">
        <v>1</v>
      </c>
      <c r="E8" s="19" t="n">
        <v>1</v>
      </c>
      <c r="F8" s="19" t="n">
        <v>1</v>
      </c>
      <c r="G8" s="19" t="n">
        <v>1</v>
      </c>
      <c r="H8" s="19" t="n">
        <v>1</v>
      </c>
      <c r="I8" s="19" t="n">
        <v>1</v>
      </c>
      <c r="J8" s="19" t="n">
        <v>1</v>
      </c>
      <c r="K8" s="19" t="n">
        <v>1</v>
      </c>
      <c r="L8" s="19" t="n">
        <v>1</v>
      </c>
      <c r="M8" s="19" t="n">
        <v>1</v>
      </c>
      <c r="N8" s="19" t="n">
        <v>1</v>
      </c>
      <c r="O8" s="19" t="n">
        <v>1</v>
      </c>
      <c r="P8" s="19" t="n">
        <v>1</v>
      </c>
      <c r="Q8" s="19" t="n">
        <v>1</v>
      </c>
      <c r="R8" s="19" t="n">
        <v>1</v>
      </c>
      <c r="S8" s="19" t="n">
        <v>1</v>
      </c>
      <c r="T8" s="19" t="n">
        <v>1</v>
      </c>
      <c r="U8" s="19" t="n">
        <v>1</v>
      </c>
      <c r="V8" s="19" t="n">
        <v>1</v>
      </c>
      <c r="W8" s="19" t="n">
        <v>1</v>
      </c>
      <c r="X8" s="19" t="n">
        <v>1</v>
      </c>
      <c r="Y8" s="19" t="n">
        <v>1</v>
      </c>
      <c r="Z8" s="19" t="n">
        <v>1</v>
      </c>
      <c r="AA8" s="19" t="n">
        <v>1</v>
      </c>
      <c r="AB8" s="19" t="n">
        <v>1</v>
      </c>
      <c r="AC8" s="19" t="n">
        <v>1</v>
      </c>
      <c r="AD8" s="19" t="n">
        <v>1</v>
      </c>
      <c r="AE8" s="19" t="n">
        <v>1</v>
      </c>
      <c r="AF8" s="19" t="n">
        <v>1</v>
      </c>
      <c r="AG8" s="19" t="n">
        <v>1</v>
      </c>
      <c r="AH8" s="19" t="n">
        <v>1</v>
      </c>
      <c r="AI8" s="19" t="n">
        <v>1</v>
      </c>
      <c r="AJ8" s="19" t="n">
        <v>1</v>
      </c>
      <c r="AK8" s="19" t="n">
        <v>1</v>
      </c>
      <c r="AL8" s="19" t="n">
        <v>1</v>
      </c>
      <c r="AM8" s="20" t="s">
        <v>138</v>
      </c>
    </row>
    <row r="9" customFormat="false" ht="15" hidden="false" customHeight="false" outlineLevel="0" collapsed="false">
      <c r="A9" s="15" t="n">
        <v>12500</v>
      </c>
      <c r="B9" s="7" t="s">
        <v>140</v>
      </c>
      <c r="C9" s="19"/>
      <c r="D9" s="19" t="n">
        <v>1</v>
      </c>
      <c r="E9" s="19" t="n">
        <v>1</v>
      </c>
      <c r="F9" s="19" t="n">
        <v>1</v>
      </c>
      <c r="G9" s="19" t="n">
        <v>1</v>
      </c>
      <c r="H9" s="19" t="n">
        <v>1</v>
      </c>
      <c r="I9" s="19" t="n">
        <v>1</v>
      </c>
      <c r="J9" s="19" t="n">
        <v>1</v>
      </c>
      <c r="K9" s="19" t="n">
        <v>1</v>
      </c>
      <c r="L9" s="19" t="n">
        <v>1</v>
      </c>
      <c r="M9" s="19" t="n">
        <v>1</v>
      </c>
      <c r="N9" s="19" t="n">
        <v>1</v>
      </c>
      <c r="O9" s="19" t="n">
        <v>1</v>
      </c>
      <c r="P9" s="19" t="n">
        <v>1</v>
      </c>
      <c r="Q9" s="19" t="n">
        <v>1</v>
      </c>
      <c r="R9" s="19" t="n">
        <v>1</v>
      </c>
      <c r="S9" s="19" t="n">
        <v>1</v>
      </c>
      <c r="T9" s="19" t="n">
        <v>1</v>
      </c>
      <c r="U9" s="19" t="n">
        <v>1</v>
      </c>
      <c r="V9" s="19" t="n">
        <v>1</v>
      </c>
      <c r="W9" s="19" t="n">
        <v>1</v>
      </c>
      <c r="X9" s="19" t="n">
        <v>1</v>
      </c>
      <c r="Y9" s="19" t="n">
        <v>1</v>
      </c>
      <c r="Z9" s="19" t="n">
        <v>1</v>
      </c>
      <c r="AA9" s="19" t="n">
        <v>1</v>
      </c>
      <c r="AB9" s="19" t="n">
        <v>1</v>
      </c>
      <c r="AC9" s="19" t="n">
        <v>1</v>
      </c>
      <c r="AD9" s="19" t="n">
        <v>1</v>
      </c>
      <c r="AE9" s="19" t="n">
        <v>1</v>
      </c>
      <c r="AF9" s="19" t="n">
        <v>1</v>
      </c>
      <c r="AG9" s="19" t="n">
        <v>1</v>
      </c>
      <c r="AH9" s="19" t="n">
        <v>1</v>
      </c>
      <c r="AI9" s="19" t="n">
        <v>1</v>
      </c>
      <c r="AJ9" s="19" t="n">
        <v>1</v>
      </c>
      <c r="AK9" s="19" t="n">
        <v>1</v>
      </c>
      <c r="AL9" s="19" t="n">
        <v>1</v>
      </c>
      <c r="AM9" s="20" t="s">
        <v>138</v>
      </c>
    </row>
    <row r="10" customFormat="false" ht="15" hidden="false" customHeight="false" outlineLevel="0" collapsed="false">
      <c r="A10" s="15" t="n">
        <v>12500</v>
      </c>
      <c r="B10" s="7" t="s">
        <v>141</v>
      </c>
      <c r="C10" s="19"/>
      <c r="D10" s="19" t="n">
        <v>1</v>
      </c>
      <c r="E10" s="19" t="n">
        <v>1</v>
      </c>
      <c r="F10" s="19" t="n">
        <v>1</v>
      </c>
      <c r="G10" s="19" t="n">
        <v>1</v>
      </c>
      <c r="H10" s="19" t="n">
        <v>1</v>
      </c>
      <c r="I10" s="19" t="n">
        <v>1</v>
      </c>
      <c r="J10" s="19" t="n">
        <v>1</v>
      </c>
      <c r="K10" s="19" t="n">
        <v>1</v>
      </c>
      <c r="L10" s="19" t="n">
        <v>1</v>
      </c>
      <c r="M10" s="19" t="n">
        <v>1</v>
      </c>
      <c r="N10" s="19" t="n">
        <v>1</v>
      </c>
      <c r="O10" s="19" t="n">
        <v>1</v>
      </c>
      <c r="P10" s="19" t="n">
        <v>1</v>
      </c>
      <c r="Q10" s="19" t="n">
        <v>1</v>
      </c>
      <c r="R10" s="19" t="n">
        <v>1</v>
      </c>
      <c r="S10" s="19" t="n">
        <v>1</v>
      </c>
      <c r="T10" s="19" t="n">
        <v>1</v>
      </c>
      <c r="U10" s="19" t="n">
        <v>1</v>
      </c>
      <c r="V10" s="19" t="n">
        <v>1</v>
      </c>
      <c r="W10" s="19" t="n">
        <v>1</v>
      </c>
      <c r="X10" s="19" t="n">
        <v>1</v>
      </c>
      <c r="Y10" s="19" t="n">
        <v>1</v>
      </c>
      <c r="Z10" s="19" t="n">
        <v>1</v>
      </c>
      <c r="AA10" s="19" t="n">
        <v>1</v>
      </c>
      <c r="AB10" s="19" t="n">
        <v>1</v>
      </c>
      <c r="AC10" s="19" t="n">
        <v>1</v>
      </c>
      <c r="AD10" s="19" t="n">
        <v>1</v>
      </c>
      <c r="AE10" s="19" t="n">
        <v>1</v>
      </c>
      <c r="AF10" s="19" t="n">
        <v>1</v>
      </c>
      <c r="AG10" s="19" t="n">
        <v>1</v>
      </c>
      <c r="AH10" s="19" t="n">
        <v>1</v>
      </c>
      <c r="AI10" s="19" t="n">
        <v>1</v>
      </c>
      <c r="AJ10" s="19" t="n">
        <v>1</v>
      </c>
      <c r="AK10" s="19" t="n">
        <v>1</v>
      </c>
      <c r="AL10" s="19" t="n">
        <v>1</v>
      </c>
      <c r="AM10" s="20" t="s">
        <v>138</v>
      </c>
    </row>
    <row r="11" customFormat="false" ht="15" hidden="false" customHeight="false" outlineLevel="0" collapsed="false">
      <c r="A11" s="15" t="n">
        <v>12500</v>
      </c>
      <c r="B11" s="7" t="s">
        <v>142</v>
      </c>
      <c r="C11" s="19"/>
      <c r="D11" s="19"/>
      <c r="E11" s="19" t="n">
        <v>1</v>
      </c>
      <c r="F11" s="19" t="n">
        <v>1</v>
      </c>
      <c r="G11" s="19" t="n">
        <v>1</v>
      </c>
      <c r="H11" s="19" t="n">
        <v>1</v>
      </c>
      <c r="I11" s="19" t="n">
        <v>1</v>
      </c>
      <c r="J11" s="19" t="n">
        <v>1</v>
      </c>
      <c r="K11" s="19" t="n">
        <v>1</v>
      </c>
      <c r="L11" s="19" t="n">
        <v>1</v>
      </c>
      <c r="M11" s="19" t="n">
        <v>1</v>
      </c>
      <c r="N11" s="19" t="n">
        <v>1</v>
      </c>
      <c r="O11" s="19" t="n">
        <v>1</v>
      </c>
      <c r="P11" s="19" t="n">
        <v>1</v>
      </c>
      <c r="Q11" s="19" t="n">
        <v>1</v>
      </c>
      <c r="R11" s="19" t="n">
        <v>1</v>
      </c>
      <c r="S11" s="19" t="n">
        <v>1</v>
      </c>
      <c r="T11" s="19" t="n">
        <v>1</v>
      </c>
      <c r="U11" s="19" t="n">
        <v>1</v>
      </c>
      <c r="V11" s="19" t="n">
        <v>1</v>
      </c>
      <c r="W11" s="19" t="n">
        <v>1</v>
      </c>
      <c r="X11" s="19" t="n">
        <v>1</v>
      </c>
      <c r="Y11" s="19" t="n">
        <v>1</v>
      </c>
      <c r="Z11" s="19" t="n">
        <v>1</v>
      </c>
      <c r="AA11" s="19" t="n">
        <v>1</v>
      </c>
      <c r="AB11" s="19" t="n">
        <v>1</v>
      </c>
      <c r="AC11" s="19" t="n">
        <v>1</v>
      </c>
      <c r="AD11" s="19" t="n">
        <v>1</v>
      </c>
      <c r="AE11" s="19" t="n">
        <v>1</v>
      </c>
      <c r="AF11" s="19" t="n">
        <v>1</v>
      </c>
      <c r="AG11" s="19" t="n">
        <v>1</v>
      </c>
      <c r="AH11" s="19" t="n">
        <v>1</v>
      </c>
      <c r="AI11" s="19" t="n">
        <v>1</v>
      </c>
      <c r="AJ11" s="19" t="n">
        <v>1</v>
      </c>
      <c r="AK11" s="19" t="n">
        <v>1</v>
      </c>
      <c r="AL11" s="19" t="n">
        <v>1</v>
      </c>
      <c r="AM11" s="20" t="s">
        <v>138</v>
      </c>
    </row>
    <row r="12" customFormat="false" ht="15" hidden="false" customHeight="false" outlineLevel="0" collapsed="false">
      <c r="A12" s="13"/>
      <c r="B12" s="13" t="s">
        <v>143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</row>
    <row r="13" customFormat="false" ht="15" hidden="false" customHeight="false" outlineLevel="0" collapsed="false">
      <c r="A13" s="15" t="n">
        <v>6000</v>
      </c>
      <c r="B13" s="7" t="s">
        <v>144</v>
      </c>
      <c r="C13" s="19" t="n">
        <v>2</v>
      </c>
      <c r="D13" s="19" t="n">
        <v>3</v>
      </c>
      <c r="E13" s="19" t="n">
        <v>4</v>
      </c>
      <c r="F13" s="19" t="n">
        <v>7</v>
      </c>
      <c r="G13" s="19" t="n">
        <v>9</v>
      </c>
      <c r="H13" s="19" t="n">
        <v>12</v>
      </c>
      <c r="I13" s="19" t="n">
        <v>13</v>
      </c>
      <c r="J13" s="19" t="n">
        <v>13</v>
      </c>
      <c r="K13" s="19" t="n">
        <v>14</v>
      </c>
      <c r="L13" s="19" t="n">
        <v>15</v>
      </c>
      <c r="M13" s="19" t="n">
        <v>15</v>
      </c>
      <c r="N13" s="19" t="n">
        <v>16</v>
      </c>
      <c r="O13" s="19" t="n">
        <v>16</v>
      </c>
      <c r="P13" s="19" t="n">
        <v>16</v>
      </c>
      <c r="Q13" s="19" t="n">
        <v>17</v>
      </c>
      <c r="R13" s="19" t="n">
        <v>17</v>
      </c>
      <c r="S13" s="19" t="n">
        <v>17</v>
      </c>
      <c r="T13" s="19" t="n">
        <v>17</v>
      </c>
      <c r="U13" s="19" t="n">
        <v>17</v>
      </c>
      <c r="V13" s="19" t="n">
        <v>17</v>
      </c>
      <c r="W13" s="19" t="n">
        <v>18</v>
      </c>
      <c r="X13" s="19" t="n">
        <v>18</v>
      </c>
      <c r="Y13" s="19" t="n">
        <v>18</v>
      </c>
      <c r="Z13" s="19" t="n">
        <v>18</v>
      </c>
      <c r="AA13" s="19" t="n">
        <v>18</v>
      </c>
      <c r="AB13" s="19" t="n">
        <v>18</v>
      </c>
      <c r="AC13" s="19" t="n">
        <v>19</v>
      </c>
      <c r="AD13" s="19" t="n">
        <v>19</v>
      </c>
      <c r="AE13" s="19" t="n">
        <v>19</v>
      </c>
      <c r="AF13" s="19" t="n">
        <v>19</v>
      </c>
      <c r="AG13" s="19" t="n">
        <v>19</v>
      </c>
      <c r="AH13" s="19" t="n">
        <v>19</v>
      </c>
      <c r="AI13" s="19" t="n">
        <v>20</v>
      </c>
      <c r="AJ13" s="19" t="n">
        <v>20</v>
      </c>
      <c r="AK13" s="19" t="n">
        <v>20</v>
      </c>
      <c r="AL13" s="19" t="n">
        <v>20</v>
      </c>
      <c r="AM13" s="20"/>
    </row>
    <row r="14" customFormat="false" ht="15" hidden="false" customHeight="false" outlineLevel="0" collapsed="false">
      <c r="A14" s="15" t="n">
        <v>5000</v>
      </c>
      <c r="B14" s="7" t="s">
        <v>145</v>
      </c>
      <c r="C14" s="19" t="n">
        <v>2</v>
      </c>
      <c r="D14" s="19" t="n">
        <v>3</v>
      </c>
      <c r="E14" s="19" t="n">
        <v>4</v>
      </c>
      <c r="F14" s="19" t="n">
        <v>6</v>
      </c>
      <c r="G14" s="19" t="n">
        <v>9</v>
      </c>
      <c r="H14" s="19" t="n">
        <v>11</v>
      </c>
      <c r="I14" s="19" t="n">
        <v>11</v>
      </c>
      <c r="J14" s="19" t="n">
        <v>12</v>
      </c>
      <c r="K14" s="19" t="n">
        <v>12</v>
      </c>
      <c r="L14" s="19" t="n">
        <v>12</v>
      </c>
      <c r="M14" s="19" t="n">
        <v>13</v>
      </c>
      <c r="N14" s="19" t="n">
        <v>13</v>
      </c>
      <c r="O14" s="19" t="n">
        <v>13</v>
      </c>
      <c r="P14" s="19" t="n">
        <v>13</v>
      </c>
      <c r="Q14" s="19" t="n">
        <v>14</v>
      </c>
      <c r="R14" s="19" t="n">
        <v>14</v>
      </c>
      <c r="S14" s="19" t="n">
        <v>14</v>
      </c>
      <c r="T14" s="19" t="n">
        <v>14</v>
      </c>
      <c r="U14" s="19" t="n">
        <v>14</v>
      </c>
      <c r="V14" s="19" t="n">
        <v>14</v>
      </c>
      <c r="W14" s="19" t="n">
        <v>14</v>
      </c>
      <c r="X14" s="19" t="n">
        <v>14</v>
      </c>
      <c r="Y14" s="19" t="n">
        <v>15</v>
      </c>
      <c r="Z14" s="19" t="n">
        <v>15</v>
      </c>
      <c r="AA14" s="19" t="n">
        <v>15</v>
      </c>
      <c r="AB14" s="19" t="n">
        <v>15</v>
      </c>
      <c r="AC14" s="19" t="n">
        <v>15</v>
      </c>
      <c r="AD14" s="19" t="n">
        <v>15</v>
      </c>
      <c r="AE14" s="19" t="n">
        <v>15</v>
      </c>
      <c r="AF14" s="19" t="n">
        <v>15</v>
      </c>
      <c r="AG14" s="19" t="n">
        <v>15</v>
      </c>
      <c r="AH14" s="19" t="n">
        <v>16</v>
      </c>
      <c r="AI14" s="19" t="n">
        <v>16</v>
      </c>
      <c r="AJ14" s="19" t="n">
        <v>16</v>
      </c>
      <c r="AK14" s="19" t="n">
        <v>16</v>
      </c>
      <c r="AL14" s="19" t="n">
        <v>16</v>
      </c>
      <c r="AM14" s="20"/>
    </row>
    <row r="15" customFormat="false" ht="15" hidden="false" customHeight="false" outlineLevel="0" collapsed="false">
      <c r="A15" s="15" t="n">
        <v>4500</v>
      </c>
      <c r="B15" s="7" t="s">
        <v>146</v>
      </c>
      <c r="C15" s="19"/>
      <c r="D15" s="19" t="n">
        <v>1</v>
      </c>
      <c r="E15" s="19" t="n">
        <v>2</v>
      </c>
      <c r="F15" s="19" t="n">
        <v>3</v>
      </c>
      <c r="G15" s="19" t="n">
        <v>5</v>
      </c>
      <c r="H15" s="19" t="n">
        <v>6</v>
      </c>
      <c r="I15" s="19" t="n">
        <v>6</v>
      </c>
      <c r="J15" s="19" t="n">
        <v>6</v>
      </c>
      <c r="K15" s="19" t="n">
        <v>7</v>
      </c>
      <c r="L15" s="19" t="n">
        <v>7</v>
      </c>
      <c r="M15" s="19" t="n">
        <v>7</v>
      </c>
      <c r="N15" s="19" t="n">
        <v>7</v>
      </c>
      <c r="O15" s="19" t="n">
        <v>7</v>
      </c>
      <c r="P15" s="19" t="n">
        <v>7</v>
      </c>
      <c r="Q15" s="19" t="n">
        <v>7</v>
      </c>
      <c r="R15" s="19" t="n">
        <v>7</v>
      </c>
      <c r="S15" s="19" t="n">
        <v>7</v>
      </c>
      <c r="T15" s="19" t="n">
        <v>7</v>
      </c>
      <c r="U15" s="19" t="n">
        <v>7</v>
      </c>
      <c r="V15" s="19" t="n">
        <v>7</v>
      </c>
      <c r="W15" s="19" t="n">
        <v>7</v>
      </c>
      <c r="X15" s="19" t="n">
        <v>7</v>
      </c>
      <c r="Y15" s="19" t="n">
        <v>7</v>
      </c>
      <c r="Z15" s="19" t="n">
        <v>7</v>
      </c>
      <c r="AA15" s="19" t="n">
        <v>7</v>
      </c>
      <c r="AB15" s="19" t="n">
        <v>7</v>
      </c>
      <c r="AC15" s="19" t="n">
        <v>8</v>
      </c>
      <c r="AD15" s="19" t="n">
        <v>8</v>
      </c>
      <c r="AE15" s="19" t="n">
        <v>8</v>
      </c>
      <c r="AF15" s="19" t="n">
        <v>8</v>
      </c>
      <c r="AG15" s="19" t="n">
        <v>8</v>
      </c>
      <c r="AH15" s="19" t="n">
        <v>8</v>
      </c>
      <c r="AI15" s="19" t="n">
        <v>8</v>
      </c>
      <c r="AJ15" s="19" t="n">
        <v>8</v>
      </c>
      <c r="AK15" s="19" t="n">
        <v>8</v>
      </c>
      <c r="AL15" s="19" t="n">
        <v>8</v>
      </c>
      <c r="AM15" s="20"/>
    </row>
    <row r="16" customFormat="false" ht="15" hidden="false" customHeight="false" outlineLevel="0" collapsed="false">
      <c r="A16" s="15" t="n">
        <v>5000</v>
      </c>
      <c r="B16" s="7" t="s">
        <v>147</v>
      </c>
      <c r="C16" s="19"/>
      <c r="D16" s="19"/>
      <c r="E16" s="19" t="n">
        <v>1</v>
      </c>
      <c r="F16" s="19" t="n">
        <v>2</v>
      </c>
      <c r="G16" s="19" t="n">
        <v>3</v>
      </c>
      <c r="H16" s="19" t="n">
        <v>4</v>
      </c>
      <c r="I16" s="19" t="n">
        <v>4</v>
      </c>
      <c r="J16" s="19" t="n">
        <v>5</v>
      </c>
      <c r="K16" s="19" t="n">
        <v>5</v>
      </c>
      <c r="L16" s="19" t="n">
        <v>5</v>
      </c>
      <c r="M16" s="19" t="n">
        <v>6</v>
      </c>
      <c r="N16" s="19" t="n">
        <v>6</v>
      </c>
      <c r="O16" s="19" t="n">
        <v>6</v>
      </c>
      <c r="P16" s="19" t="n">
        <v>6</v>
      </c>
      <c r="Q16" s="19" t="n">
        <v>7</v>
      </c>
      <c r="R16" s="19" t="n">
        <v>7</v>
      </c>
      <c r="S16" s="19" t="n">
        <v>7</v>
      </c>
      <c r="T16" s="19" t="n">
        <v>7</v>
      </c>
      <c r="U16" s="19" t="n">
        <v>7</v>
      </c>
      <c r="V16" s="19" t="n">
        <v>7</v>
      </c>
      <c r="W16" s="19" t="n">
        <v>8</v>
      </c>
      <c r="X16" s="19" t="n">
        <v>8</v>
      </c>
      <c r="Y16" s="19" t="n">
        <v>8</v>
      </c>
      <c r="Z16" s="19" t="n">
        <v>8</v>
      </c>
      <c r="AA16" s="19" t="n">
        <v>8</v>
      </c>
      <c r="AB16" s="19" t="n">
        <v>8</v>
      </c>
      <c r="AC16" s="19" t="n">
        <v>9</v>
      </c>
      <c r="AD16" s="19" t="n">
        <v>9</v>
      </c>
      <c r="AE16" s="19" t="n">
        <v>9</v>
      </c>
      <c r="AF16" s="19" t="n">
        <v>9</v>
      </c>
      <c r="AG16" s="19" t="n">
        <v>9</v>
      </c>
      <c r="AH16" s="19" t="n">
        <v>9</v>
      </c>
      <c r="AI16" s="19" t="n">
        <v>10</v>
      </c>
      <c r="AJ16" s="19" t="n">
        <v>10</v>
      </c>
      <c r="AK16" s="19" t="n">
        <v>10</v>
      </c>
      <c r="AL16" s="19" t="n">
        <v>10</v>
      </c>
      <c r="AM16" s="20"/>
    </row>
    <row r="17" customFormat="false" ht="15" hidden="false" customHeight="false" outlineLevel="0" collapsed="false">
      <c r="A17" s="15" t="n">
        <v>5500</v>
      </c>
      <c r="B17" s="7" t="s">
        <v>148</v>
      </c>
      <c r="C17" s="19"/>
      <c r="D17" s="19" t="n">
        <v>1</v>
      </c>
      <c r="E17" s="19" t="n">
        <v>2</v>
      </c>
      <c r="F17" s="19" t="n">
        <v>2</v>
      </c>
      <c r="G17" s="19" t="n">
        <v>3</v>
      </c>
      <c r="H17" s="19" t="n">
        <v>3</v>
      </c>
      <c r="I17" s="19" t="n">
        <v>3</v>
      </c>
      <c r="J17" s="19" t="n">
        <v>3</v>
      </c>
      <c r="K17" s="19" t="n">
        <v>4</v>
      </c>
      <c r="L17" s="19" t="n">
        <v>4</v>
      </c>
      <c r="M17" s="19" t="n">
        <v>4</v>
      </c>
      <c r="N17" s="19" t="n">
        <v>4</v>
      </c>
      <c r="O17" s="19" t="n">
        <v>4</v>
      </c>
      <c r="P17" s="19" t="n">
        <v>4</v>
      </c>
      <c r="Q17" s="19" t="n">
        <v>4</v>
      </c>
      <c r="R17" s="19" t="n">
        <v>4</v>
      </c>
      <c r="S17" s="19" t="n">
        <v>4</v>
      </c>
      <c r="T17" s="19" t="n">
        <v>4</v>
      </c>
      <c r="U17" s="19" t="n">
        <v>4</v>
      </c>
      <c r="V17" s="19" t="n">
        <v>4</v>
      </c>
      <c r="W17" s="19" t="n">
        <v>4</v>
      </c>
      <c r="X17" s="19" t="n">
        <v>4</v>
      </c>
      <c r="Y17" s="19" t="n">
        <v>4</v>
      </c>
      <c r="Z17" s="19" t="n">
        <v>4</v>
      </c>
      <c r="AA17" s="19" t="n">
        <v>4</v>
      </c>
      <c r="AB17" s="19" t="n">
        <v>4</v>
      </c>
      <c r="AC17" s="19" t="n">
        <v>5</v>
      </c>
      <c r="AD17" s="19" t="n">
        <v>5</v>
      </c>
      <c r="AE17" s="19" t="n">
        <v>5</v>
      </c>
      <c r="AF17" s="19" t="n">
        <v>5</v>
      </c>
      <c r="AG17" s="19" t="n">
        <v>5</v>
      </c>
      <c r="AH17" s="19" t="n">
        <v>5</v>
      </c>
      <c r="AI17" s="19" t="n">
        <v>5</v>
      </c>
      <c r="AJ17" s="19" t="n">
        <v>5</v>
      </c>
      <c r="AK17" s="19" t="n">
        <v>5</v>
      </c>
      <c r="AL17" s="19" t="n">
        <v>5</v>
      </c>
      <c r="AM17" s="20"/>
    </row>
    <row r="18" customFormat="false" ht="15" hidden="false" customHeight="false" outlineLevel="0" collapsed="false">
      <c r="A18" s="15" t="n">
        <v>2500</v>
      </c>
      <c r="B18" s="7" t="s">
        <v>149</v>
      </c>
      <c r="C18" s="19"/>
      <c r="D18" s="19"/>
      <c r="E18" s="19" t="n">
        <v>1</v>
      </c>
      <c r="F18" s="19" t="n">
        <v>2</v>
      </c>
      <c r="G18" s="19" t="n">
        <v>2</v>
      </c>
      <c r="H18" s="19" t="n">
        <v>3</v>
      </c>
      <c r="I18" s="19" t="n">
        <v>3</v>
      </c>
      <c r="J18" s="19" t="n">
        <v>3</v>
      </c>
      <c r="K18" s="19" t="n">
        <v>4</v>
      </c>
      <c r="L18" s="19" t="n">
        <v>4</v>
      </c>
      <c r="M18" s="19" t="n">
        <v>4</v>
      </c>
      <c r="N18" s="19" t="n">
        <v>4</v>
      </c>
      <c r="O18" s="19" t="n">
        <v>4</v>
      </c>
      <c r="P18" s="19" t="n">
        <v>4</v>
      </c>
      <c r="Q18" s="19" t="n">
        <v>5</v>
      </c>
      <c r="R18" s="19" t="n">
        <v>5</v>
      </c>
      <c r="S18" s="19" t="n">
        <v>5</v>
      </c>
      <c r="T18" s="19" t="n">
        <v>5</v>
      </c>
      <c r="U18" s="19" t="n">
        <v>5</v>
      </c>
      <c r="V18" s="19" t="n">
        <v>5</v>
      </c>
      <c r="W18" s="19" t="n">
        <v>5</v>
      </c>
      <c r="X18" s="19" t="n">
        <v>5</v>
      </c>
      <c r="Y18" s="19" t="n">
        <v>5</v>
      </c>
      <c r="Z18" s="19" t="n">
        <v>5</v>
      </c>
      <c r="AA18" s="19" t="n">
        <v>5</v>
      </c>
      <c r="AB18" s="19" t="n">
        <v>5</v>
      </c>
      <c r="AC18" s="19" t="n">
        <v>6</v>
      </c>
      <c r="AD18" s="19" t="n">
        <v>6</v>
      </c>
      <c r="AE18" s="19" t="n">
        <v>6</v>
      </c>
      <c r="AF18" s="19" t="n">
        <v>6</v>
      </c>
      <c r="AG18" s="19" t="n">
        <v>6</v>
      </c>
      <c r="AH18" s="19" t="n">
        <v>6</v>
      </c>
      <c r="AI18" s="19" t="n">
        <v>6</v>
      </c>
      <c r="AJ18" s="19" t="n">
        <v>6</v>
      </c>
      <c r="AK18" s="19" t="n">
        <v>6</v>
      </c>
      <c r="AL18" s="19" t="n">
        <v>6</v>
      </c>
      <c r="AM18" s="20"/>
    </row>
    <row r="19" customFormat="false" ht="15" hidden="false" customHeight="false" outlineLevel="0" collapsed="false">
      <c r="A19" s="13"/>
      <c r="B19" s="13" t="s">
        <v>150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</row>
    <row r="20" customFormat="false" ht="15" hidden="false" customHeight="false" outlineLevel="0" collapsed="false">
      <c r="A20" s="15" t="n">
        <v>9000</v>
      </c>
      <c r="B20" s="7" t="s">
        <v>151</v>
      </c>
      <c r="C20" s="19"/>
      <c r="D20" s="19"/>
      <c r="E20" s="19" t="n">
        <v>1</v>
      </c>
      <c r="F20" s="19" t="n">
        <v>2</v>
      </c>
      <c r="G20" s="19" t="n">
        <v>2</v>
      </c>
      <c r="H20" s="19" t="n">
        <v>3</v>
      </c>
      <c r="I20" s="19" t="n">
        <v>3</v>
      </c>
      <c r="J20" s="19" t="n">
        <v>4</v>
      </c>
      <c r="K20" s="19" t="n">
        <v>4</v>
      </c>
      <c r="L20" s="19" t="n">
        <v>4</v>
      </c>
      <c r="M20" s="19" t="n">
        <v>5</v>
      </c>
      <c r="N20" s="19" t="n">
        <v>5</v>
      </c>
      <c r="O20" s="19" t="n">
        <v>5</v>
      </c>
      <c r="P20" s="19" t="n">
        <v>6</v>
      </c>
      <c r="Q20" s="19" t="n">
        <v>6</v>
      </c>
      <c r="R20" s="19" t="n">
        <v>6</v>
      </c>
      <c r="S20" s="19" t="n">
        <v>7</v>
      </c>
      <c r="T20" s="19" t="n">
        <v>7</v>
      </c>
      <c r="U20" s="19" t="n">
        <v>7</v>
      </c>
      <c r="V20" s="19" t="n">
        <v>7</v>
      </c>
      <c r="W20" s="19" t="n">
        <v>7</v>
      </c>
      <c r="X20" s="19" t="n">
        <v>7</v>
      </c>
      <c r="Y20" s="19" t="n">
        <v>7</v>
      </c>
      <c r="Z20" s="19" t="n">
        <v>7</v>
      </c>
      <c r="AA20" s="19" t="n">
        <v>7</v>
      </c>
      <c r="AB20" s="19" t="n">
        <v>7</v>
      </c>
      <c r="AC20" s="19" t="n">
        <v>7</v>
      </c>
      <c r="AD20" s="19" t="n">
        <v>7</v>
      </c>
      <c r="AE20" s="19" t="n">
        <v>7</v>
      </c>
      <c r="AF20" s="19" t="n">
        <v>7</v>
      </c>
      <c r="AG20" s="19" t="n">
        <v>7</v>
      </c>
      <c r="AH20" s="19" t="n">
        <v>7</v>
      </c>
      <c r="AI20" s="19" t="n">
        <v>7</v>
      </c>
      <c r="AJ20" s="19" t="n">
        <v>7</v>
      </c>
      <c r="AK20" s="19" t="n">
        <v>7</v>
      </c>
      <c r="AL20" s="19" t="n">
        <v>7</v>
      </c>
      <c r="AM20" s="20"/>
    </row>
    <row r="21" customFormat="false" ht="15" hidden="false" customHeight="false" outlineLevel="0" collapsed="false">
      <c r="A21" s="15" t="n">
        <v>3500</v>
      </c>
      <c r="B21" s="7" t="s">
        <v>152</v>
      </c>
      <c r="C21" s="19"/>
      <c r="D21" s="19"/>
      <c r="E21" s="19"/>
      <c r="F21" s="19" t="n">
        <v>1</v>
      </c>
      <c r="G21" s="19" t="n">
        <v>2</v>
      </c>
      <c r="H21" s="19" t="n">
        <v>2</v>
      </c>
      <c r="I21" s="19" t="n">
        <v>2</v>
      </c>
      <c r="J21" s="19" t="n">
        <v>3</v>
      </c>
      <c r="K21" s="19" t="n">
        <v>3</v>
      </c>
      <c r="L21" s="19" t="n">
        <v>3</v>
      </c>
      <c r="M21" s="19" t="n">
        <v>4</v>
      </c>
      <c r="N21" s="19" t="n">
        <v>4</v>
      </c>
      <c r="O21" s="19" t="n">
        <v>4</v>
      </c>
      <c r="P21" s="19" t="n">
        <v>4</v>
      </c>
      <c r="Q21" s="19" t="n">
        <v>5</v>
      </c>
      <c r="R21" s="19" t="n">
        <v>5</v>
      </c>
      <c r="S21" s="19" t="n">
        <v>5</v>
      </c>
      <c r="T21" s="19" t="n">
        <v>5</v>
      </c>
      <c r="U21" s="19" t="n">
        <v>5</v>
      </c>
      <c r="V21" s="19" t="n">
        <v>5</v>
      </c>
      <c r="W21" s="19" t="n">
        <v>5</v>
      </c>
      <c r="X21" s="19" t="n">
        <v>5</v>
      </c>
      <c r="Y21" s="19" t="n">
        <v>5</v>
      </c>
      <c r="Z21" s="19" t="n">
        <v>5</v>
      </c>
      <c r="AA21" s="19" t="n">
        <v>5</v>
      </c>
      <c r="AB21" s="19" t="n">
        <v>5</v>
      </c>
      <c r="AC21" s="19" t="n">
        <v>5</v>
      </c>
      <c r="AD21" s="19" t="n">
        <v>5</v>
      </c>
      <c r="AE21" s="19" t="n">
        <v>5</v>
      </c>
      <c r="AF21" s="19" t="n">
        <v>5</v>
      </c>
      <c r="AG21" s="19" t="n">
        <v>5</v>
      </c>
      <c r="AH21" s="19" t="n">
        <v>5</v>
      </c>
      <c r="AI21" s="19" t="n">
        <v>5</v>
      </c>
      <c r="AJ21" s="19" t="n">
        <v>5</v>
      </c>
      <c r="AK21" s="19" t="n">
        <v>5</v>
      </c>
      <c r="AL21" s="19" t="n">
        <v>5</v>
      </c>
      <c r="AM21" s="20"/>
    </row>
    <row r="22" customFormat="false" ht="15" hidden="false" customHeight="false" outlineLevel="0" collapsed="false">
      <c r="A22" s="15" t="n">
        <v>5000</v>
      </c>
      <c r="B22" s="7" t="s">
        <v>153</v>
      </c>
      <c r="C22" s="19"/>
      <c r="D22" s="19"/>
      <c r="E22" s="19" t="n">
        <v>1</v>
      </c>
      <c r="F22" s="19" t="n">
        <v>2</v>
      </c>
      <c r="G22" s="19" t="n">
        <v>2</v>
      </c>
      <c r="H22" s="19" t="n">
        <v>3</v>
      </c>
      <c r="I22" s="19" t="n">
        <v>4</v>
      </c>
      <c r="J22" s="19" t="n">
        <v>4</v>
      </c>
      <c r="K22" s="19" t="n">
        <v>5</v>
      </c>
      <c r="L22" s="19" t="n">
        <v>5</v>
      </c>
      <c r="M22" s="19" t="n">
        <v>6</v>
      </c>
      <c r="N22" s="19" t="n">
        <v>6</v>
      </c>
      <c r="O22" s="19" t="n">
        <v>6</v>
      </c>
      <c r="P22" s="19" t="n">
        <v>7</v>
      </c>
      <c r="Q22" s="19" t="n">
        <v>7</v>
      </c>
      <c r="R22" s="19" t="n">
        <v>7</v>
      </c>
      <c r="S22" s="19" t="n">
        <v>8</v>
      </c>
      <c r="T22" s="19" t="n">
        <v>8</v>
      </c>
      <c r="U22" s="19" t="n">
        <v>8</v>
      </c>
      <c r="V22" s="19" t="n">
        <v>8</v>
      </c>
      <c r="W22" s="19" t="n">
        <v>9</v>
      </c>
      <c r="X22" s="19" t="n">
        <v>9</v>
      </c>
      <c r="Y22" s="19" t="n">
        <v>9</v>
      </c>
      <c r="Z22" s="19" t="n">
        <v>9</v>
      </c>
      <c r="AA22" s="19" t="n">
        <v>10</v>
      </c>
      <c r="AB22" s="19" t="n">
        <v>10</v>
      </c>
      <c r="AC22" s="19" t="n">
        <v>10</v>
      </c>
      <c r="AD22" s="19" t="n">
        <v>10</v>
      </c>
      <c r="AE22" s="19" t="n">
        <v>10</v>
      </c>
      <c r="AF22" s="19" t="n">
        <v>11</v>
      </c>
      <c r="AG22" s="19" t="n">
        <v>11</v>
      </c>
      <c r="AH22" s="19" t="n">
        <v>11</v>
      </c>
      <c r="AI22" s="19" t="n">
        <v>11</v>
      </c>
      <c r="AJ22" s="19" t="n">
        <v>12</v>
      </c>
      <c r="AK22" s="19" t="n">
        <v>12</v>
      </c>
      <c r="AL22" s="19" t="n">
        <v>12</v>
      </c>
      <c r="AM22" s="20"/>
    </row>
    <row r="23" customFormat="false" ht="15" hidden="false" customHeight="false" outlineLevel="0" collapsed="false">
      <c r="A23" s="15" t="n">
        <v>3500</v>
      </c>
      <c r="B23" s="7" t="s">
        <v>154</v>
      </c>
      <c r="C23" s="19"/>
      <c r="D23" s="19"/>
      <c r="E23" s="19"/>
      <c r="F23" s="19"/>
      <c r="G23" s="19"/>
      <c r="H23" s="19" t="n">
        <v>1</v>
      </c>
      <c r="I23" s="19" t="n">
        <v>1</v>
      </c>
      <c r="J23" s="19" t="n">
        <v>2</v>
      </c>
      <c r="K23" s="19" t="n">
        <v>2</v>
      </c>
      <c r="L23" s="19" t="n">
        <v>2</v>
      </c>
      <c r="M23" s="19" t="n">
        <v>3</v>
      </c>
      <c r="N23" s="19" t="n">
        <v>3</v>
      </c>
      <c r="O23" s="19" t="n">
        <v>3</v>
      </c>
      <c r="P23" s="19" t="n">
        <v>4</v>
      </c>
      <c r="Q23" s="19" t="n">
        <v>4</v>
      </c>
      <c r="R23" s="19" t="n">
        <v>4</v>
      </c>
      <c r="S23" s="19" t="n">
        <v>5</v>
      </c>
      <c r="T23" s="19" t="n">
        <v>5</v>
      </c>
      <c r="U23" s="19" t="n">
        <v>6</v>
      </c>
      <c r="V23" s="19" t="n">
        <v>6</v>
      </c>
      <c r="W23" s="19" t="n">
        <v>7</v>
      </c>
      <c r="X23" s="19" t="n">
        <v>7</v>
      </c>
      <c r="Y23" s="19" t="n">
        <v>8</v>
      </c>
      <c r="Z23" s="19" t="n">
        <v>8</v>
      </c>
      <c r="AA23" s="19" t="n">
        <v>9</v>
      </c>
      <c r="AB23" s="19" t="n">
        <v>9</v>
      </c>
      <c r="AC23" s="19" t="n">
        <v>10</v>
      </c>
      <c r="AD23" s="19" t="n">
        <v>10</v>
      </c>
      <c r="AE23" s="19" t="n">
        <v>11</v>
      </c>
      <c r="AF23" s="19" t="n">
        <v>11</v>
      </c>
      <c r="AG23" s="19" t="n">
        <v>12</v>
      </c>
      <c r="AH23" s="19" t="n">
        <v>12</v>
      </c>
      <c r="AI23" s="19" t="n">
        <v>13</v>
      </c>
      <c r="AJ23" s="19" t="n">
        <v>13</v>
      </c>
      <c r="AK23" s="19" t="n">
        <v>14</v>
      </c>
      <c r="AL23" s="19" t="n">
        <v>14</v>
      </c>
      <c r="AM23" s="20"/>
    </row>
    <row r="24" customFormat="false" ht="15" hidden="false" customHeight="false" outlineLevel="0" collapsed="false">
      <c r="A24" s="13"/>
      <c r="B24" s="13" t="s">
        <v>155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</row>
    <row r="25" customFormat="false" ht="15" hidden="false" customHeight="false" outlineLevel="0" collapsed="false">
      <c r="A25" s="15" t="n">
        <v>4500</v>
      </c>
      <c r="B25" s="7" t="s">
        <v>156</v>
      </c>
      <c r="C25" s="19"/>
      <c r="D25" s="19" t="n">
        <v>1</v>
      </c>
      <c r="E25" s="19" t="n">
        <v>2</v>
      </c>
      <c r="F25" s="19" t="n">
        <v>2</v>
      </c>
      <c r="G25" s="19" t="n">
        <v>3</v>
      </c>
      <c r="H25" s="19" t="n">
        <v>3</v>
      </c>
      <c r="I25" s="19" t="n">
        <v>3</v>
      </c>
      <c r="J25" s="19" t="n">
        <v>3</v>
      </c>
      <c r="K25" s="19" t="n">
        <v>4</v>
      </c>
      <c r="L25" s="19" t="n">
        <v>4</v>
      </c>
      <c r="M25" s="19" t="n">
        <v>4</v>
      </c>
      <c r="N25" s="19" t="n">
        <v>4</v>
      </c>
      <c r="O25" s="19" t="n">
        <v>4</v>
      </c>
      <c r="P25" s="19" t="n">
        <v>4</v>
      </c>
      <c r="Q25" s="19" t="n">
        <v>4</v>
      </c>
      <c r="R25" s="19" t="n">
        <v>4</v>
      </c>
      <c r="S25" s="19" t="n">
        <v>4</v>
      </c>
      <c r="T25" s="19" t="n">
        <v>4</v>
      </c>
      <c r="U25" s="19" t="n">
        <v>4</v>
      </c>
      <c r="V25" s="19" t="n">
        <v>4</v>
      </c>
      <c r="W25" s="19" t="n">
        <v>4</v>
      </c>
      <c r="X25" s="19" t="n">
        <v>4</v>
      </c>
      <c r="Y25" s="19" t="n">
        <v>4</v>
      </c>
      <c r="Z25" s="19" t="n">
        <v>4</v>
      </c>
      <c r="AA25" s="19" t="n">
        <v>4</v>
      </c>
      <c r="AB25" s="19" t="n">
        <v>4</v>
      </c>
      <c r="AC25" s="19" t="n">
        <v>4</v>
      </c>
      <c r="AD25" s="19" t="n">
        <v>4</v>
      </c>
      <c r="AE25" s="19" t="n">
        <v>4</v>
      </c>
      <c r="AF25" s="19" t="n">
        <v>4</v>
      </c>
      <c r="AG25" s="19" t="n">
        <v>4</v>
      </c>
      <c r="AH25" s="19" t="n">
        <v>4</v>
      </c>
      <c r="AI25" s="19" t="n">
        <v>4</v>
      </c>
      <c r="AJ25" s="19" t="n">
        <v>4</v>
      </c>
      <c r="AK25" s="19" t="n">
        <v>4</v>
      </c>
      <c r="AL25" s="19" t="n">
        <v>4</v>
      </c>
      <c r="AM25" s="20"/>
    </row>
    <row r="26" customFormat="false" ht="15" hidden="false" customHeight="false" outlineLevel="0" collapsed="false">
      <c r="A26" s="15" t="n">
        <v>3000</v>
      </c>
      <c r="B26" s="7" t="s">
        <v>157</v>
      </c>
      <c r="C26" s="19"/>
      <c r="D26" s="19" t="n">
        <v>1</v>
      </c>
      <c r="E26" s="19" t="n">
        <v>1</v>
      </c>
      <c r="F26" s="19" t="n">
        <v>2</v>
      </c>
      <c r="G26" s="19" t="n">
        <v>2</v>
      </c>
      <c r="H26" s="19" t="n">
        <v>3</v>
      </c>
      <c r="I26" s="19" t="n">
        <v>3</v>
      </c>
      <c r="J26" s="19" t="n">
        <v>3</v>
      </c>
      <c r="K26" s="19" t="n">
        <v>4</v>
      </c>
      <c r="L26" s="19" t="n">
        <v>4</v>
      </c>
      <c r="M26" s="19" t="n">
        <v>4</v>
      </c>
      <c r="N26" s="19" t="n">
        <v>4</v>
      </c>
      <c r="O26" s="19" t="n">
        <v>4</v>
      </c>
      <c r="P26" s="19" t="n">
        <v>4</v>
      </c>
      <c r="Q26" s="19" t="n">
        <v>4</v>
      </c>
      <c r="R26" s="19" t="n">
        <v>4</v>
      </c>
      <c r="S26" s="19" t="n">
        <v>4</v>
      </c>
      <c r="T26" s="19" t="n">
        <v>4</v>
      </c>
      <c r="U26" s="19" t="n">
        <v>4</v>
      </c>
      <c r="V26" s="19" t="n">
        <v>4</v>
      </c>
      <c r="W26" s="19" t="n">
        <v>4</v>
      </c>
      <c r="X26" s="19" t="n">
        <v>4</v>
      </c>
      <c r="Y26" s="19" t="n">
        <v>4</v>
      </c>
      <c r="Z26" s="19" t="n">
        <v>4</v>
      </c>
      <c r="AA26" s="19" t="n">
        <v>4</v>
      </c>
      <c r="AB26" s="19" t="n">
        <v>4</v>
      </c>
      <c r="AC26" s="19" t="n">
        <v>4</v>
      </c>
      <c r="AD26" s="19" t="n">
        <v>4</v>
      </c>
      <c r="AE26" s="19" t="n">
        <v>4</v>
      </c>
      <c r="AF26" s="19" t="n">
        <v>4</v>
      </c>
      <c r="AG26" s="19" t="n">
        <v>4</v>
      </c>
      <c r="AH26" s="19" t="n">
        <v>4</v>
      </c>
      <c r="AI26" s="19" t="n">
        <v>4</v>
      </c>
      <c r="AJ26" s="19" t="n">
        <v>4</v>
      </c>
      <c r="AK26" s="19" t="n">
        <v>4</v>
      </c>
      <c r="AL26" s="19" t="n">
        <v>4</v>
      </c>
      <c r="AM26" s="20"/>
    </row>
    <row r="27" customFormat="false" ht="15" hidden="false" customHeight="false" outlineLevel="0" collapsed="false">
      <c r="A27" s="15" t="n">
        <v>2500</v>
      </c>
      <c r="B27" s="7" t="s">
        <v>158</v>
      </c>
      <c r="C27" s="19"/>
      <c r="D27" s="19" t="n">
        <v>1</v>
      </c>
      <c r="E27" s="19" t="n">
        <v>2</v>
      </c>
      <c r="F27" s="19" t="n">
        <v>3</v>
      </c>
      <c r="G27" s="19" t="n">
        <v>4</v>
      </c>
      <c r="H27" s="19" t="n">
        <v>5</v>
      </c>
      <c r="I27" s="19" t="n">
        <v>5</v>
      </c>
      <c r="J27" s="19" t="n">
        <v>5</v>
      </c>
      <c r="K27" s="19" t="n">
        <v>6</v>
      </c>
      <c r="L27" s="19" t="n">
        <v>6</v>
      </c>
      <c r="M27" s="19" t="n">
        <v>6</v>
      </c>
      <c r="N27" s="19" t="n">
        <v>6</v>
      </c>
      <c r="O27" s="19" t="n">
        <v>6</v>
      </c>
      <c r="P27" s="19" t="n">
        <v>6</v>
      </c>
      <c r="Q27" s="19" t="n">
        <v>6</v>
      </c>
      <c r="R27" s="19" t="n">
        <v>6</v>
      </c>
      <c r="S27" s="19" t="n">
        <v>6</v>
      </c>
      <c r="T27" s="19" t="n">
        <v>6</v>
      </c>
      <c r="U27" s="19" t="n">
        <v>6</v>
      </c>
      <c r="V27" s="19" t="n">
        <v>6</v>
      </c>
      <c r="W27" s="19" t="n">
        <v>6</v>
      </c>
      <c r="X27" s="19" t="n">
        <v>6</v>
      </c>
      <c r="Y27" s="19" t="n">
        <v>6</v>
      </c>
      <c r="Z27" s="19" t="n">
        <v>6</v>
      </c>
      <c r="AA27" s="19" t="n">
        <v>6</v>
      </c>
      <c r="AB27" s="19" t="n">
        <v>6</v>
      </c>
      <c r="AC27" s="19" t="n">
        <v>6</v>
      </c>
      <c r="AD27" s="19" t="n">
        <v>6</v>
      </c>
      <c r="AE27" s="19" t="n">
        <v>6</v>
      </c>
      <c r="AF27" s="19" t="n">
        <v>6</v>
      </c>
      <c r="AG27" s="19" t="n">
        <v>6</v>
      </c>
      <c r="AH27" s="19" t="n">
        <v>6</v>
      </c>
      <c r="AI27" s="19" t="n">
        <v>6</v>
      </c>
      <c r="AJ27" s="19" t="n">
        <v>6</v>
      </c>
      <c r="AK27" s="19" t="n">
        <v>6</v>
      </c>
      <c r="AL27" s="19" t="n">
        <v>6</v>
      </c>
      <c r="AM27" s="20"/>
    </row>
    <row r="28" customFormat="false" ht="15" hidden="false" customHeight="false" outlineLevel="0" collapsed="false">
      <c r="A28" s="15" t="n">
        <v>2500</v>
      </c>
      <c r="B28" s="7" t="s">
        <v>159</v>
      </c>
      <c r="C28" s="19"/>
      <c r="D28" s="19"/>
      <c r="E28" s="19" t="n">
        <v>1</v>
      </c>
      <c r="F28" s="19" t="n">
        <v>1</v>
      </c>
      <c r="G28" s="19" t="n">
        <v>2</v>
      </c>
      <c r="H28" s="19" t="n">
        <v>2</v>
      </c>
      <c r="I28" s="19" t="n">
        <v>2</v>
      </c>
      <c r="J28" s="19" t="n">
        <v>2</v>
      </c>
      <c r="K28" s="19" t="n">
        <v>3</v>
      </c>
      <c r="L28" s="19" t="n">
        <v>3</v>
      </c>
      <c r="M28" s="19" t="n">
        <v>3</v>
      </c>
      <c r="N28" s="19" t="n">
        <v>3</v>
      </c>
      <c r="O28" s="19" t="n">
        <v>3</v>
      </c>
      <c r="P28" s="19" t="n">
        <v>3</v>
      </c>
      <c r="Q28" s="19" t="n">
        <v>3</v>
      </c>
      <c r="R28" s="19" t="n">
        <v>3</v>
      </c>
      <c r="S28" s="19" t="n">
        <v>3</v>
      </c>
      <c r="T28" s="19" t="n">
        <v>3</v>
      </c>
      <c r="U28" s="19" t="n">
        <v>3</v>
      </c>
      <c r="V28" s="19" t="n">
        <v>3</v>
      </c>
      <c r="W28" s="19" t="n">
        <v>3</v>
      </c>
      <c r="X28" s="19" t="n">
        <v>3</v>
      </c>
      <c r="Y28" s="19" t="n">
        <v>3</v>
      </c>
      <c r="Z28" s="19" t="n">
        <v>3</v>
      </c>
      <c r="AA28" s="19" t="n">
        <v>3</v>
      </c>
      <c r="AB28" s="19" t="n">
        <v>3</v>
      </c>
      <c r="AC28" s="19" t="n">
        <v>3</v>
      </c>
      <c r="AD28" s="19" t="n">
        <v>3</v>
      </c>
      <c r="AE28" s="19" t="n">
        <v>3</v>
      </c>
      <c r="AF28" s="19" t="n">
        <v>3</v>
      </c>
      <c r="AG28" s="19" t="n">
        <v>3</v>
      </c>
      <c r="AH28" s="19" t="n">
        <v>3</v>
      </c>
      <c r="AI28" s="19" t="n">
        <v>3</v>
      </c>
      <c r="AJ28" s="19" t="n">
        <v>3</v>
      </c>
      <c r="AK28" s="19" t="n">
        <v>3</v>
      </c>
      <c r="AL28" s="19" t="n">
        <v>3</v>
      </c>
      <c r="AM28" s="20"/>
    </row>
    <row r="29" customFormat="false" ht="15" hidden="false" customHeight="false" outlineLevel="0" collapsed="false">
      <c r="A29" s="15" t="n">
        <v>2500</v>
      </c>
      <c r="B29" s="7" t="s">
        <v>160</v>
      </c>
      <c r="C29" s="19"/>
      <c r="D29" s="19"/>
      <c r="E29" s="19" t="n">
        <v>1</v>
      </c>
      <c r="F29" s="19" t="n">
        <v>1</v>
      </c>
      <c r="G29" s="19" t="n">
        <v>2</v>
      </c>
      <c r="H29" s="19" t="n">
        <v>2</v>
      </c>
      <c r="I29" s="19" t="n">
        <v>2</v>
      </c>
      <c r="J29" s="19" t="n">
        <v>2</v>
      </c>
      <c r="K29" s="19" t="n">
        <v>3</v>
      </c>
      <c r="L29" s="19" t="n">
        <v>3</v>
      </c>
      <c r="M29" s="19" t="n">
        <v>3</v>
      </c>
      <c r="N29" s="19" t="n">
        <v>3</v>
      </c>
      <c r="O29" s="19" t="n">
        <v>3</v>
      </c>
      <c r="P29" s="19" t="n">
        <v>3</v>
      </c>
      <c r="Q29" s="19" t="n">
        <v>3</v>
      </c>
      <c r="R29" s="19" t="n">
        <v>3</v>
      </c>
      <c r="S29" s="19" t="n">
        <v>3</v>
      </c>
      <c r="T29" s="19" t="n">
        <v>3</v>
      </c>
      <c r="U29" s="19" t="n">
        <v>3</v>
      </c>
      <c r="V29" s="19" t="n">
        <v>3</v>
      </c>
      <c r="W29" s="19" t="n">
        <v>3</v>
      </c>
      <c r="X29" s="19" t="n">
        <v>3</v>
      </c>
      <c r="Y29" s="19" t="n">
        <v>4</v>
      </c>
      <c r="Z29" s="19" t="n">
        <v>4</v>
      </c>
      <c r="AA29" s="19" t="n">
        <v>4</v>
      </c>
      <c r="AB29" s="19" t="n">
        <v>4</v>
      </c>
      <c r="AC29" s="19" t="n">
        <v>4</v>
      </c>
      <c r="AD29" s="19" t="n">
        <v>4</v>
      </c>
      <c r="AE29" s="19" t="n">
        <v>4</v>
      </c>
      <c r="AF29" s="19" t="n">
        <v>4</v>
      </c>
      <c r="AG29" s="19" t="n">
        <v>4</v>
      </c>
      <c r="AH29" s="19" t="n">
        <v>5</v>
      </c>
      <c r="AI29" s="19" t="n">
        <v>5</v>
      </c>
      <c r="AJ29" s="19" t="n">
        <v>5</v>
      </c>
      <c r="AK29" s="19" t="n">
        <v>5</v>
      </c>
      <c r="AL29" s="19" t="n">
        <v>5</v>
      </c>
      <c r="AM29" s="20"/>
    </row>
    <row r="30" customFormat="false" ht="15" hidden="false" customHeight="false" outlineLevel="0" collapsed="false">
      <c r="A30" s="15" t="n">
        <v>5000</v>
      </c>
      <c r="B30" s="7" t="s">
        <v>161</v>
      </c>
      <c r="C30" s="19"/>
      <c r="D30" s="19"/>
      <c r="E30" s="19"/>
      <c r="F30" s="19" t="n">
        <v>1</v>
      </c>
      <c r="G30" s="19" t="n">
        <v>1</v>
      </c>
      <c r="H30" s="19" t="n">
        <v>1</v>
      </c>
      <c r="I30" s="19" t="n">
        <v>1</v>
      </c>
      <c r="J30" s="19" t="n">
        <v>1</v>
      </c>
      <c r="K30" s="19" t="n">
        <v>2</v>
      </c>
      <c r="L30" s="19" t="n">
        <v>2</v>
      </c>
      <c r="M30" s="19" t="n">
        <v>2</v>
      </c>
      <c r="N30" s="19" t="n">
        <v>2</v>
      </c>
      <c r="O30" s="19" t="n">
        <v>2</v>
      </c>
      <c r="P30" s="19" t="n">
        <v>2</v>
      </c>
      <c r="Q30" s="19" t="n">
        <v>3</v>
      </c>
      <c r="R30" s="19" t="n">
        <v>3</v>
      </c>
      <c r="S30" s="19" t="n">
        <v>3</v>
      </c>
      <c r="T30" s="19" t="n">
        <v>3</v>
      </c>
      <c r="U30" s="19" t="n">
        <v>3</v>
      </c>
      <c r="V30" s="19" t="n">
        <v>3</v>
      </c>
      <c r="W30" s="19" t="n">
        <v>3</v>
      </c>
      <c r="X30" s="19" t="n">
        <v>3</v>
      </c>
      <c r="Y30" s="19" t="n">
        <v>3</v>
      </c>
      <c r="Z30" s="19" t="n">
        <v>3</v>
      </c>
      <c r="AA30" s="19" t="n">
        <v>3</v>
      </c>
      <c r="AB30" s="19" t="n">
        <v>3</v>
      </c>
      <c r="AC30" s="19" t="n">
        <v>3</v>
      </c>
      <c r="AD30" s="19" t="n">
        <v>3</v>
      </c>
      <c r="AE30" s="19" t="n">
        <v>3</v>
      </c>
      <c r="AF30" s="19" t="n">
        <v>3</v>
      </c>
      <c r="AG30" s="19" t="n">
        <v>3</v>
      </c>
      <c r="AH30" s="19" t="n">
        <v>3</v>
      </c>
      <c r="AI30" s="19" t="n">
        <v>3</v>
      </c>
      <c r="AJ30" s="19" t="n">
        <v>3</v>
      </c>
      <c r="AK30" s="19" t="n">
        <v>3</v>
      </c>
      <c r="AL30" s="19" t="n">
        <v>3</v>
      </c>
      <c r="AM30" s="20"/>
    </row>
    <row r="31" customFormat="false" ht="15" hidden="false" customHeight="false" outlineLevel="0" collapsed="false">
      <c r="A31" s="15" t="n">
        <v>4000</v>
      </c>
      <c r="B31" s="7" t="s">
        <v>162</v>
      </c>
      <c r="C31" s="19"/>
      <c r="D31" s="19"/>
      <c r="E31" s="19"/>
      <c r="F31" s="19"/>
      <c r="G31" s="19"/>
      <c r="H31" s="19"/>
      <c r="I31" s="19"/>
      <c r="J31" s="19" t="n">
        <v>1</v>
      </c>
      <c r="K31" s="19" t="n">
        <v>1</v>
      </c>
      <c r="L31" s="19" t="n">
        <v>2</v>
      </c>
      <c r="M31" s="19" t="n">
        <v>2</v>
      </c>
      <c r="N31" s="19" t="n">
        <v>2</v>
      </c>
      <c r="O31" s="19" t="n">
        <v>2</v>
      </c>
      <c r="P31" s="19" t="n">
        <v>2</v>
      </c>
      <c r="Q31" s="19" t="n">
        <v>3</v>
      </c>
      <c r="R31" s="19" t="n">
        <v>3</v>
      </c>
      <c r="S31" s="19" t="n">
        <v>3</v>
      </c>
      <c r="T31" s="19" t="n">
        <v>3</v>
      </c>
      <c r="U31" s="19" t="n">
        <v>3</v>
      </c>
      <c r="V31" s="19" t="n">
        <v>3</v>
      </c>
      <c r="W31" s="19" t="n">
        <v>3</v>
      </c>
      <c r="X31" s="19" t="n">
        <v>3</v>
      </c>
      <c r="Y31" s="19" t="n">
        <v>3</v>
      </c>
      <c r="Z31" s="19" t="n">
        <v>3</v>
      </c>
      <c r="AA31" s="19" t="n">
        <v>3</v>
      </c>
      <c r="AB31" s="19" t="n">
        <v>3</v>
      </c>
      <c r="AC31" s="19" t="n">
        <v>3</v>
      </c>
      <c r="AD31" s="19" t="n">
        <v>3</v>
      </c>
      <c r="AE31" s="19" t="n">
        <v>3</v>
      </c>
      <c r="AF31" s="19" t="n">
        <v>3</v>
      </c>
      <c r="AG31" s="19" t="n">
        <v>3</v>
      </c>
      <c r="AH31" s="19" t="n">
        <v>3</v>
      </c>
      <c r="AI31" s="19" t="n">
        <v>3</v>
      </c>
      <c r="AJ31" s="19" t="n">
        <v>3</v>
      </c>
      <c r="AK31" s="19" t="n">
        <v>3</v>
      </c>
      <c r="AL31" s="19" t="n">
        <v>3</v>
      </c>
      <c r="AM31" s="20"/>
    </row>
    <row r="32" customFormat="false" ht="15" hidden="false" customHeight="false" outlineLevel="0" collapsed="false">
      <c r="A32" s="13"/>
      <c r="B32" s="13" t="s">
        <v>163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</row>
    <row r="33" customFormat="false" ht="15" hidden="false" customHeight="false" outlineLevel="0" collapsed="false">
      <c r="A33" s="15" t="n">
        <v>5500</v>
      </c>
      <c r="B33" s="7" t="s">
        <v>164</v>
      </c>
      <c r="C33" s="19"/>
      <c r="D33" s="19"/>
      <c r="E33" s="19" t="n">
        <v>1</v>
      </c>
      <c r="F33" s="19" t="n">
        <v>2</v>
      </c>
      <c r="G33" s="19" t="n">
        <v>2</v>
      </c>
      <c r="H33" s="19" t="n">
        <v>3</v>
      </c>
      <c r="I33" s="19" t="n">
        <v>3</v>
      </c>
      <c r="J33" s="19" t="n">
        <v>4</v>
      </c>
      <c r="K33" s="19" t="n">
        <v>4</v>
      </c>
      <c r="L33" s="19" t="n">
        <v>4</v>
      </c>
      <c r="M33" s="19" t="n">
        <v>5</v>
      </c>
      <c r="N33" s="19" t="n">
        <v>5</v>
      </c>
      <c r="O33" s="19" t="n">
        <v>5</v>
      </c>
      <c r="P33" s="19" t="n">
        <v>5</v>
      </c>
      <c r="Q33" s="19" t="n">
        <v>6</v>
      </c>
      <c r="R33" s="19" t="n">
        <v>6</v>
      </c>
      <c r="S33" s="19" t="n">
        <v>6</v>
      </c>
      <c r="T33" s="19" t="n">
        <v>6</v>
      </c>
      <c r="U33" s="19" t="n">
        <v>6</v>
      </c>
      <c r="V33" s="19" t="n">
        <v>6</v>
      </c>
      <c r="W33" s="19" t="n">
        <v>6</v>
      </c>
      <c r="X33" s="19" t="n">
        <v>6</v>
      </c>
      <c r="Y33" s="19" t="n">
        <v>6</v>
      </c>
      <c r="Z33" s="19" t="n">
        <v>6</v>
      </c>
      <c r="AA33" s="19" t="n">
        <v>6</v>
      </c>
      <c r="AB33" s="19" t="n">
        <v>6</v>
      </c>
      <c r="AC33" s="19" t="n">
        <v>7</v>
      </c>
      <c r="AD33" s="19" t="n">
        <v>7</v>
      </c>
      <c r="AE33" s="19" t="n">
        <v>7</v>
      </c>
      <c r="AF33" s="19" t="n">
        <v>7</v>
      </c>
      <c r="AG33" s="19" t="n">
        <v>7</v>
      </c>
      <c r="AH33" s="19" t="n">
        <v>7</v>
      </c>
      <c r="AI33" s="19" t="n">
        <v>7</v>
      </c>
      <c r="AJ33" s="19" t="n">
        <v>7</v>
      </c>
      <c r="AK33" s="19" t="n">
        <v>7</v>
      </c>
      <c r="AL33" s="19" t="n">
        <v>7</v>
      </c>
      <c r="AM33" s="20"/>
    </row>
    <row r="34" customFormat="false" ht="15" hidden="false" customHeight="false" outlineLevel="0" collapsed="false">
      <c r="A34" s="15" t="n">
        <v>4500</v>
      </c>
      <c r="B34" s="7" t="s">
        <v>165</v>
      </c>
      <c r="C34" s="19"/>
      <c r="D34" s="19"/>
      <c r="E34" s="19"/>
      <c r="F34" s="19" t="n">
        <v>1</v>
      </c>
      <c r="G34" s="19" t="n">
        <v>1</v>
      </c>
      <c r="H34" s="19" t="n">
        <v>1</v>
      </c>
      <c r="I34" s="19" t="n">
        <v>1</v>
      </c>
      <c r="J34" s="19" t="n">
        <v>1</v>
      </c>
      <c r="K34" s="19" t="n">
        <v>2</v>
      </c>
      <c r="L34" s="19" t="n">
        <v>2</v>
      </c>
      <c r="M34" s="19" t="n">
        <v>2</v>
      </c>
      <c r="N34" s="19" t="n">
        <v>2</v>
      </c>
      <c r="O34" s="19" t="n">
        <v>2</v>
      </c>
      <c r="P34" s="19" t="n">
        <v>2</v>
      </c>
      <c r="Q34" s="19" t="n">
        <v>3</v>
      </c>
      <c r="R34" s="19" t="n">
        <v>3</v>
      </c>
      <c r="S34" s="19" t="n">
        <v>3</v>
      </c>
      <c r="T34" s="19" t="n">
        <v>3</v>
      </c>
      <c r="U34" s="19" t="n">
        <v>3</v>
      </c>
      <c r="V34" s="19" t="n">
        <v>3</v>
      </c>
      <c r="W34" s="19" t="n">
        <v>3</v>
      </c>
      <c r="X34" s="19" t="n">
        <v>3</v>
      </c>
      <c r="Y34" s="19" t="n">
        <v>3</v>
      </c>
      <c r="Z34" s="19" t="n">
        <v>3</v>
      </c>
      <c r="AA34" s="19" t="n">
        <v>3</v>
      </c>
      <c r="AB34" s="19" t="n">
        <v>3</v>
      </c>
      <c r="AC34" s="19" t="n">
        <v>3</v>
      </c>
      <c r="AD34" s="19" t="n">
        <v>3</v>
      </c>
      <c r="AE34" s="19" t="n">
        <v>3</v>
      </c>
      <c r="AF34" s="19" t="n">
        <v>3</v>
      </c>
      <c r="AG34" s="19" t="n">
        <v>3</v>
      </c>
      <c r="AH34" s="19" t="n">
        <v>3</v>
      </c>
      <c r="AI34" s="19" t="n">
        <v>3</v>
      </c>
      <c r="AJ34" s="19" t="n">
        <v>3</v>
      </c>
      <c r="AK34" s="19" t="n">
        <v>3</v>
      </c>
      <c r="AL34" s="19" t="n">
        <v>3</v>
      </c>
      <c r="AM34" s="20"/>
    </row>
    <row r="35" customFormat="false" ht="15" hidden="false" customHeight="false" outlineLevel="0" collapsed="false">
      <c r="A35" s="15" t="n">
        <v>2500</v>
      </c>
      <c r="B35" s="7" t="s">
        <v>166</v>
      </c>
      <c r="C35" s="19"/>
      <c r="D35" s="19"/>
      <c r="E35" s="19"/>
      <c r="F35" s="19"/>
      <c r="G35" s="19"/>
      <c r="H35" s="19"/>
      <c r="I35" s="19"/>
      <c r="J35" s="19"/>
      <c r="K35" s="19" t="n">
        <v>1</v>
      </c>
      <c r="L35" s="19" t="n">
        <v>1</v>
      </c>
      <c r="M35" s="19" t="n">
        <v>1</v>
      </c>
      <c r="N35" s="19" t="n">
        <v>1</v>
      </c>
      <c r="O35" s="19" t="n">
        <v>1</v>
      </c>
      <c r="P35" s="19" t="n">
        <v>1</v>
      </c>
      <c r="Q35" s="19" t="n">
        <v>2</v>
      </c>
      <c r="R35" s="19" t="n">
        <v>2</v>
      </c>
      <c r="S35" s="19" t="n">
        <v>2</v>
      </c>
      <c r="T35" s="19" t="n">
        <v>2</v>
      </c>
      <c r="U35" s="19" t="n">
        <v>2</v>
      </c>
      <c r="V35" s="19" t="n">
        <v>2</v>
      </c>
      <c r="W35" s="19" t="n">
        <v>2</v>
      </c>
      <c r="X35" s="19" t="n">
        <v>2</v>
      </c>
      <c r="Y35" s="19" t="n">
        <v>3</v>
      </c>
      <c r="Z35" s="19" t="n">
        <v>3</v>
      </c>
      <c r="AA35" s="19" t="n">
        <v>3</v>
      </c>
      <c r="AB35" s="19" t="n">
        <v>3</v>
      </c>
      <c r="AC35" s="19" t="n">
        <v>3</v>
      </c>
      <c r="AD35" s="19" t="n">
        <v>3</v>
      </c>
      <c r="AE35" s="19" t="n">
        <v>3</v>
      </c>
      <c r="AF35" s="19" t="n">
        <v>3</v>
      </c>
      <c r="AG35" s="19" t="n">
        <v>3</v>
      </c>
      <c r="AH35" s="19" t="n">
        <v>4</v>
      </c>
      <c r="AI35" s="19" t="n">
        <v>4</v>
      </c>
      <c r="AJ35" s="19" t="n">
        <v>4</v>
      </c>
      <c r="AK35" s="19" t="n">
        <v>4</v>
      </c>
      <c r="AL35" s="19" t="n">
        <v>4</v>
      </c>
      <c r="AM35" s="20"/>
    </row>
    <row r="36" customFormat="false" ht="15" hidden="false" customHeight="false" outlineLevel="0" collapsed="false">
      <c r="A36" s="13"/>
      <c r="B36" s="13" t="s">
        <v>167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</row>
    <row r="37" customFormat="false" ht="15" hidden="false" customHeight="false" outlineLevel="0" collapsed="false">
      <c r="A37" s="15" t="n">
        <v>4000</v>
      </c>
      <c r="B37" s="7" t="s">
        <v>168</v>
      </c>
      <c r="C37" s="19"/>
      <c r="D37" s="19"/>
      <c r="E37" s="19" t="n">
        <v>1</v>
      </c>
      <c r="F37" s="19" t="n">
        <v>1</v>
      </c>
      <c r="G37" s="19" t="n">
        <v>2</v>
      </c>
      <c r="H37" s="19" t="n">
        <v>2</v>
      </c>
      <c r="I37" s="19" t="n">
        <v>2</v>
      </c>
      <c r="J37" s="19" t="n">
        <v>2</v>
      </c>
      <c r="K37" s="19" t="n">
        <v>3</v>
      </c>
      <c r="L37" s="19" t="n">
        <v>3</v>
      </c>
      <c r="M37" s="19" t="n">
        <v>3</v>
      </c>
      <c r="N37" s="19" t="n">
        <v>3</v>
      </c>
      <c r="O37" s="19" t="n">
        <v>3</v>
      </c>
      <c r="P37" s="19" t="n">
        <v>3</v>
      </c>
      <c r="Q37" s="19" t="n">
        <v>3</v>
      </c>
      <c r="R37" s="19" t="n">
        <v>3</v>
      </c>
      <c r="S37" s="19" t="n">
        <v>3</v>
      </c>
      <c r="T37" s="19" t="n">
        <v>3</v>
      </c>
      <c r="U37" s="19" t="n">
        <v>3</v>
      </c>
      <c r="V37" s="19" t="n">
        <v>3</v>
      </c>
      <c r="W37" s="19" t="n">
        <v>3</v>
      </c>
      <c r="X37" s="19" t="n">
        <v>3</v>
      </c>
      <c r="Y37" s="19" t="n">
        <v>3</v>
      </c>
      <c r="Z37" s="19" t="n">
        <v>3</v>
      </c>
      <c r="AA37" s="19" t="n">
        <v>3</v>
      </c>
      <c r="AB37" s="19" t="n">
        <v>3</v>
      </c>
      <c r="AC37" s="19" t="n">
        <v>4</v>
      </c>
      <c r="AD37" s="19" t="n">
        <v>4</v>
      </c>
      <c r="AE37" s="19" t="n">
        <v>4</v>
      </c>
      <c r="AF37" s="19" t="n">
        <v>4</v>
      </c>
      <c r="AG37" s="19" t="n">
        <v>4</v>
      </c>
      <c r="AH37" s="19" t="n">
        <v>4</v>
      </c>
      <c r="AI37" s="19" t="n">
        <v>4</v>
      </c>
      <c r="AJ37" s="19" t="n">
        <v>4</v>
      </c>
      <c r="AK37" s="19" t="n">
        <v>4</v>
      </c>
      <c r="AL37" s="19" t="n">
        <v>4</v>
      </c>
      <c r="AM37" s="20"/>
    </row>
    <row r="38" customFormat="false" ht="15" hidden="false" customHeight="false" outlineLevel="0" collapsed="false">
      <c r="A38" s="15" t="n">
        <v>6000</v>
      </c>
      <c r="B38" s="7" t="s">
        <v>169</v>
      </c>
      <c r="C38" s="19"/>
      <c r="D38" s="19"/>
      <c r="E38" s="19"/>
      <c r="F38" s="19"/>
      <c r="G38" s="19"/>
      <c r="H38" s="19" t="n">
        <v>1</v>
      </c>
      <c r="I38" s="19" t="n">
        <v>1</v>
      </c>
      <c r="J38" s="19" t="n">
        <v>1</v>
      </c>
      <c r="K38" s="19" t="n">
        <v>1</v>
      </c>
      <c r="L38" s="19" t="n">
        <v>1</v>
      </c>
      <c r="M38" s="19" t="n">
        <v>1</v>
      </c>
      <c r="N38" s="19" t="n">
        <v>2</v>
      </c>
      <c r="O38" s="19" t="n">
        <v>2</v>
      </c>
      <c r="P38" s="19" t="n">
        <v>2</v>
      </c>
      <c r="Q38" s="19" t="n">
        <v>2</v>
      </c>
      <c r="R38" s="19" t="n">
        <v>2</v>
      </c>
      <c r="S38" s="19" t="n">
        <v>2</v>
      </c>
      <c r="T38" s="19" t="n">
        <v>2</v>
      </c>
      <c r="U38" s="19" t="n">
        <v>2</v>
      </c>
      <c r="V38" s="19" t="n">
        <v>2</v>
      </c>
      <c r="W38" s="19" t="n">
        <v>2</v>
      </c>
      <c r="X38" s="19" t="n">
        <v>2</v>
      </c>
      <c r="Y38" s="19" t="n">
        <v>2</v>
      </c>
      <c r="Z38" s="19" t="n">
        <v>2</v>
      </c>
      <c r="AA38" s="19" t="n">
        <v>2</v>
      </c>
      <c r="AB38" s="19" t="n">
        <v>2</v>
      </c>
      <c r="AC38" s="19" t="n">
        <v>2</v>
      </c>
      <c r="AD38" s="19" t="n">
        <v>2</v>
      </c>
      <c r="AE38" s="19" t="n">
        <v>2</v>
      </c>
      <c r="AF38" s="19" t="n">
        <v>2</v>
      </c>
      <c r="AG38" s="19" t="n">
        <v>2</v>
      </c>
      <c r="AH38" s="19" t="n">
        <v>2</v>
      </c>
      <c r="AI38" s="19" t="n">
        <v>2</v>
      </c>
      <c r="AJ38" s="19" t="n">
        <v>2</v>
      </c>
      <c r="AK38" s="19" t="n">
        <v>2</v>
      </c>
      <c r="AL38" s="19" t="n">
        <v>2</v>
      </c>
      <c r="AM38" s="20"/>
    </row>
    <row r="39" customFormat="false" ht="15" hidden="false" customHeight="false" outlineLevel="0" collapsed="false">
      <c r="A39" s="15" t="n">
        <v>3000</v>
      </c>
      <c r="B39" s="7" t="s">
        <v>170</v>
      </c>
      <c r="C39" s="19"/>
      <c r="D39" s="19" t="n">
        <v>1</v>
      </c>
      <c r="E39" s="19" t="n">
        <v>2</v>
      </c>
      <c r="F39" s="19" t="n">
        <v>2</v>
      </c>
      <c r="G39" s="19" t="n">
        <v>3</v>
      </c>
      <c r="H39" s="19" t="n">
        <v>3</v>
      </c>
      <c r="I39" s="19" t="n">
        <v>3</v>
      </c>
      <c r="J39" s="19" t="n">
        <v>3</v>
      </c>
      <c r="K39" s="19" t="n">
        <v>3</v>
      </c>
      <c r="L39" s="19" t="n">
        <v>3</v>
      </c>
      <c r="M39" s="19" t="n">
        <v>3</v>
      </c>
      <c r="N39" s="19" t="n">
        <v>3</v>
      </c>
      <c r="O39" s="19" t="n">
        <v>3</v>
      </c>
      <c r="P39" s="19" t="n">
        <v>3</v>
      </c>
      <c r="Q39" s="19" t="n">
        <v>3</v>
      </c>
      <c r="R39" s="19" t="n">
        <v>2</v>
      </c>
      <c r="S39" s="19" t="n">
        <v>2</v>
      </c>
      <c r="T39" s="19" t="n">
        <v>2</v>
      </c>
      <c r="U39" s="19" t="n">
        <v>2</v>
      </c>
      <c r="V39" s="19" t="n">
        <v>2</v>
      </c>
      <c r="W39" s="19" t="n">
        <v>2</v>
      </c>
      <c r="X39" s="19" t="n">
        <v>2</v>
      </c>
      <c r="Y39" s="19" t="n">
        <v>2</v>
      </c>
      <c r="Z39" s="19" t="n">
        <v>2</v>
      </c>
      <c r="AA39" s="19" t="n">
        <v>2</v>
      </c>
      <c r="AB39" s="19" t="n">
        <v>2</v>
      </c>
      <c r="AC39" s="19" t="n">
        <v>2</v>
      </c>
      <c r="AD39" s="19" t="n">
        <v>2</v>
      </c>
      <c r="AE39" s="19" t="n">
        <v>2</v>
      </c>
      <c r="AF39" s="19" t="n">
        <v>2</v>
      </c>
      <c r="AG39" s="19" t="n">
        <v>2</v>
      </c>
      <c r="AH39" s="19" t="n">
        <v>2</v>
      </c>
      <c r="AI39" s="19" t="n">
        <v>2</v>
      </c>
      <c r="AJ39" s="19" t="n">
        <v>2</v>
      </c>
      <c r="AK39" s="19" t="n">
        <v>2</v>
      </c>
      <c r="AL39" s="19" t="n">
        <v>2</v>
      </c>
      <c r="AM39" s="20"/>
    </row>
    <row r="40" customFormat="false" ht="15" hidden="false" customHeight="false" outlineLevel="0" collapsed="false">
      <c r="A40" s="15" t="n">
        <v>4000</v>
      </c>
      <c r="B40" s="7" t="s">
        <v>171</v>
      </c>
      <c r="C40" s="19"/>
      <c r="D40" s="19"/>
      <c r="E40" s="19"/>
      <c r="F40" s="19" t="n">
        <v>1</v>
      </c>
      <c r="G40" s="19" t="n">
        <v>1</v>
      </c>
      <c r="H40" s="19" t="n">
        <v>1</v>
      </c>
      <c r="I40" s="19" t="n">
        <v>1</v>
      </c>
      <c r="J40" s="19" t="n">
        <v>2</v>
      </c>
      <c r="K40" s="19" t="n">
        <v>2</v>
      </c>
      <c r="L40" s="19" t="n">
        <v>2</v>
      </c>
      <c r="M40" s="19" t="n">
        <v>2</v>
      </c>
      <c r="N40" s="19" t="n">
        <v>2</v>
      </c>
      <c r="O40" s="19" t="n">
        <v>2</v>
      </c>
      <c r="P40" s="19" t="n">
        <v>2</v>
      </c>
      <c r="Q40" s="19" t="n">
        <v>2</v>
      </c>
      <c r="R40" s="19" t="n">
        <v>2</v>
      </c>
      <c r="S40" s="19" t="n">
        <v>2</v>
      </c>
      <c r="T40" s="19" t="n">
        <v>2</v>
      </c>
      <c r="U40" s="19" t="n">
        <v>2</v>
      </c>
      <c r="V40" s="19" t="n">
        <v>2</v>
      </c>
      <c r="W40" s="19" t="n">
        <v>2</v>
      </c>
      <c r="X40" s="19" t="n">
        <v>2</v>
      </c>
      <c r="Y40" s="19" t="n">
        <v>2</v>
      </c>
      <c r="Z40" s="19" t="n">
        <v>2</v>
      </c>
      <c r="AA40" s="19" t="n">
        <v>2</v>
      </c>
      <c r="AB40" s="19" t="n">
        <v>2</v>
      </c>
      <c r="AC40" s="19" t="n">
        <v>2</v>
      </c>
      <c r="AD40" s="19" t="n">
        <v>2</v>
      </c>
      <c r="AE40" s="19" t="n">
        <v>2</v>
      </c>
      <c r="AF40" s="19" t="n">
        <v>2</v>
      </c>
      <c r="AG40" s="19" t="n">
        <v>2</v>
      </c>
      <c r="AH40" s="19" t="n">
        <v>2</v>
      </c>
      <c r="AI40" s="19" t="n">
        <v>2</v>
      </c>
      <c r="AJ40" s="19" t="n">
        <v>2</v>
      </c>
      <c r="AK40" s="19" t="n">
        <v>2</v>
      </c>
      <c r="AL40" s="19" t="n">
        <v>2</v>
      </c>
      <c r="AM40" s="20"/>
    </row>
    <row r="41" customFormat="false" ht="15" hidden="false" customHeight="false" outlineLevel="0" collapsed="false">
      <c r="A41" s="15" t="n">
        <v>2000</v>
      </c>
      <c r="B41" s="7" t="s">
        <v>172</v>
      </c>
      <c r="C41" s="19"/>
      <c r="D41" s="19"/>
      <c r="E41" s="19" t="n">
        <v>1</v>
      </c>
      <c r="F41" s="19" t="n">
        <v>1</v>
      </c>
      <c r="G41" s="19" t="n">
        <v>1</v>
      </c>
      <c r="H41" s="19" t="n">
        <v>1</v>
      </c>
      <c r="I41" s="19" t="n">
        <v>1</v>
      </c>
      <c r="J41" s="19" t="n">
        <v>2</v>
      </c>
      <c r="K41" s="19" t="n">
        <v>2</v>
      </c>
      <c r="L41" s="19" t="n">
        <v>2</v>
      </c>
      <c r="M41" s="19" t="n">
        <v>2</v>
      </c>
      <c r="N41" s="19" t="n">
        <v>2</v>
      </c>
      <c r="O41" s="19" t="n">
        <v>2</v>
      </c>
      <c r="P41" s="19" t="n">
        <v>2</v>
      </c>
      <c r="Q41" s="19" t="n">
        <v>2</v>
      </c>
      <c r="R41" s="19" t="n">
        <v>2</v>
      </c>
      <c r="S41" s="19" t="n">
        <v>2</v>
      </c>
      <c r="T41" s="19" t="n">
        <v>2</v>
      </c>
      <c r="U41" s="19" t="n">
        <v>2</v>
      </c>
      <c r="V41" s="19" t="n">
        <v>2</v>
      </c>
      <c r="W41" s="19" t="n">
        <v>2</v>
      </c>
      <c r="X41" s="19" t="n">
        <v>2</v>
      </c>
      <c r="Y41" s="19" t="n">
        <v>2</v>
      </c>
      <c r="Z41" s="19" t="n">
        <v>2</v>
      </c>
      <c r="AA41" s="19" t="n">
        <v>2</v>
      </c>
      <c r="AB41" s="19" t="n">
        <v>2</v>
      </c>
      <c r="AC41" s="19" t="n">
        <v>2</v>
      </c>
      <c r="AD41" s="19" t="n">
        <v>2</v>
      </c>
      <c r="AE41" s="19" t="n">
        <v>2</v>
      </c>
      <c r="AF41" s="19" t="n">
        <v>2</v>
      </c>
      <c r="AG41" s="19" t="n">
        <v>2</v>
      </c>
      <c r="AH41" s="19" t="n">
        <v>2</v>
      </c>
      <c r="AI41" s="19" t="n">
        <v>2</v>
      </c>
      <c r="AJ41" s="19" t="n">
        <v>2</v>
      </c>
      <c r="AK41" s="19" t="n">
        <v>2</v>
      </c>
      <c r="AL41" s="19" t="n">
        <v>2</v>
      </c>
      <c r="AM41" s="20"/>
    </row>
    <row r="42" customFormat="false" ht="15" hidden="false" customHeight="false" outlineLevel="0" collapsed="false">
      <c r="B42" s="3" t="s">
        <v>173</v>
      </c>
      <c r="C42" s="21" t="n">
        <f aca="false">SUM(C5:C41)</f>
        <v>9</v>
      </c>
      <c r="D42" s="21" t="n">
        <f aca="false">SUM(D5:D41)</f>
        <v>19</v>
      </c>
      <c r="E42" s="21" t="n">
        <f aca="false">SUM(E5:E41)</f>
        <v>36</v>
      </c>
      <c r="F42" s="21" t="n">
        <f aca="false">SUM(F5:F41)</f>
        <v>53</v>
      </c>
      <c r="G42" s="21" t="n">
        <f aca="false">SUM(G5:G41)</f>
        <v>69</v>
      </c>
      <c r="H42" s="21" t="n">
        <f aca="false">SUM(H5:H41)</f>
        <v>84</v>
      </c>
      <c r="I42" s="21" t="n">
        <f aca="false">SUM(I5:I41)</f>
        <v>86</v>
      </c>
      <c r="J42" s="21" t="n">
        <f aca="false">SUM(J5:J41)</f>
        <v>95</v>
      </c>
      <c r="K42" s="21" t="n">
        <f aca="false">SUM(K5:K41)</f>
        <v>109</v>
      </c>
      <c r="L42" s="21" t="n">
        <f aca="false">SUM(L5:L41)</f>
        <v>111</v>
      </c>
      <c r="M42" s="21" t="n">
        <f aca="false">SUM(M5:M41)</f>
        <v>118</v>
      </c>
      <c r="N42" s="21" t="n">
        <f aca="false">SUM(N5:N41)</f>
        <v>120</v>
      </c>
      <c r="O42" s="21" t="n">
        <f aca="false">SUM(O5:O41)</f>
        <v>120</v>
      </c>
      <c r="P42" s="21" t="n">
        <f aca="false">SUM(P5:P41)</f>
        <v>123</v>
      </c>
      <c r="Q42" s="21" t="n">
        <f aca="false">SUM(Q5:Q41)</f>
        <v>133</v>
      </c>
      <c r="R42" s="21" t="n">
        <f aca="false">SUM(R5:R41)</f>
        <v>132</v>
      </c>
      <c r="S42" s="21" t="n">
        <f aca="false">SUM(S5:S41)</f>
        <v>135</v>
      </c>
      <c r="T42" s="21" t="n">
        <f aca="false">SUM(T5:T41)</f>
        <v>135</v>
      </c>
      <c r="U42" s="21" t="n">
        <f aca="false">SUM(U5:U41)</f>
        <v>136</v>
      </c>
      <c r="V42" s="21" t="n">
        <f aca="false">SUM(V5:V41)</f>
        <v>136</v>
      </c>
      <c r="W42" s="21" t="n">
        <f aca="false">SUM(W5:W41)</f>
        <v>140</v>
      </c>
      <c r="X42" s="21" t="n">
        <f aca="false">SUM(X5:X41)</f>
        <v>140</v>
      </c>
      <c r="Y42" s="21" t="n">
        <f aca="false">SUM(Y5:Y41)</f>
        <v>144</v>
      </c>
      <c r="Z42" s="21" t="n">
        <f aca="false">SUM(Z5:Z41)</f>
        <v>144</v>
      </c>
      <c r="AA42" s="21" t="n">
        <f aca="false">SUM(AA5:AA41)</f>
        <v>146</v>
      </c>
      <c r="AB42" s="21" t="n">
        <f aca="false">SUM(AB5:AB41)</f>
        <v>146</v>
      </c>
      <c r="AC42" s="21" t="n">
        <f aca="false">SUM(AC5:AC41)</f>
        <v>154</v>
      </c>
      <c r="AD42" s="21" t="n">
        <f aca="false">SUM(AD5:AD41)</f>
        <v>154</v>
      </c>
      <c r="AE42" s="21" t="n">
        <f aca="false">SUM(AE5:AE41)</f>
        <v>155</v>
      </c>
      <c r="AF42" s="21" t="n">
        <f aca="false">SUM(AF5:AF41)</f>
        <v>156</v>
      </c>
      <c r="AG42" s="21" t="n">
        <f aca="false">SUM(AG5:AG41)</f>
        <v>157</v>
      </c>
      <c r="AH42" s="21" t="n">
        <f aca="false">SUM(AH5:AH41)</f>
        <v>160</v>
      </c>
      <c r="AI42" s="21" t="n">
        <f aca="false">SUM(AI5:AI41)</f>
        <v>163</v>
      </c>
      <c r="AJ42" s="21" t="n">
        <f aca="false">SUM(AJ5:AJ41)</f>
        <v>164</v>
      </c>
      <c r="AK42" s="21" t="n">
        <f aca="false">SUM(AK5:AK41)</f>
        <v>165</v>
      </c>
      <c r="AL42" s="21" t="n">
        <f aca="false">SUM(AL5:AL41)</f>
        <v>165</v>
      </c>
    </row>
    <row r="43" customFormat="false" ht="15" hidden="false" customHeight="false" outlineLevel="0" collapsed="false">
      <c r="B43" s="7" t="s">
        <v>174</v>
      </c>
      <c r="C43" s="22" t="n">
        <f aca="false">SUMPRODUCT((C5:C41)*($AM$5:$AM$41="да"))</f>
        <v>2</v>
      </c>
      <c r="D43" s="22" t="n">
        <f aca="false">SUMPRODUCT(((D5:D41)-(C5:C41)&gt;0)*((D5:D41)-(C5:C41))*($AM$5:$AM$41="да"))</f>
        <v>2</v>
      </c>
      <c r="E43" s="22" t="n">
        <f aca="false">SUMPRODUCT(((E5:E41)-(D5:D41)&gt;0)*((E5:E41)-(D5:D41))*($AM$5:$AM$41="да"))</f>
        <v>1</v>
      </c>
      <c r="F43" s="22" t="n">
        <f aca="false">SUMPRODUCT(((F5:F41)-(E5:E41)&gt;0)*((F5:F41)-(E5:E41))*($AM$5:$AM$41="да"))</f>
        <v>0</v>
      </c>
      <c r="G43" s="22" t="n">
        <f aca="false">SUMPRODUCT(((G5:G41)-(F5:F41)&gt;0)*((G5:G41)-(F5:F41))*($AM$5:$AM$41="да"))</f>
        <v>0</v>
      </c>
      <c r="H43" s="22" t="n">
        <f aca="false">SUMPRODUCT(((H5:H41)-(G5:G41)&gt;0)*((H5:H41)-(G5:G41))*($AM$5:$AM$41="да"))</f>
        <v>0</v>
      </c>
      <c r="I43" s="22" t="n">
        <f aca="false">SUMPRODUCT(((I5:I41)-(H5:H41)&gt;0)*((I5:I41)-(H5:H41))*($AM$5:$AM$41="да"))</f>
        <v>0</v>
      </c>
      <c r="J43" s="22" t="n">
        <f aca="false">SUMPRODUCT(((J5:J41)-(I5:I41)&gt;0)*((J5:J41)-(I5:I41))*($AM$5:$AM$41="да"))</f>
        <v>0</v>
      </c>
      <c r="K43" s="22" t="n">
        <f aca="false">SUMPRODUCT(((K5:K41)-(J5:J41)&gt;0)*((K5:K41)-(J5:J41))*($AM$5:$AM$41="да"))</f>
        <v>0</v>
      </c>
      <c r="L43" s="22" t="n">
        <f aca="false">SUMPRODUCT(((L5:L41)-(K5:K41)&gt;0)*((L5:L41)-(K5:K41))*($AM$5:$AM$41="да"))</f>
        <v>0</v>
      </c>
      <c r="M43" s="22" t="n">
        <f aca="false">SUMPRODUCT(((M5:M41)-(L5:L41)&gt;0)*((M5:M41)-(L5:L41))*($AM$5:$AM$41="да"))</f>
        <v>0</v>
      </c>
      <c r="N43" s="22" t="n">
        <f aca="false">SUMPRODUCT(((N5:N41)-(M5:M41)&gt;0)*((N5:N41)-(M5:M41))*($AM$5:$AM$41="да"))</f>
        <v>0</v>
      </c>
      <c r="O43" s="22" t="n">
        <f aca="false">SUMPRODUCT(((O5:O41)-(N5:N41)&gt;0)*((O5:O41)-(N5:N41))*($AM$5:$AM$41="да"))</f>
        <v>0</v>
      </c>
      <c r="P43" s="22" t="n">
        <f aca="false">SUMPRODUCT(((P5:P41)-(O5:O41)&gt;0)*((P5:P41)-(O5:O41))*($AM$5:$AM$41="да"))</f>
        <v>0</v>
      </c>
      <c r="Q43" s="22" t="n">
        <f aca="false">SUMPRODUCT(((Q5:Q41)-(P5:P41)&gt;0)*((Q5:Q41)-(P5:P41))*($AM$5:$AM$41="да"))</f>
        <v>0</v>
      </c>
      <c r="R43" s="22" t="n">
        <f aca="false">SUMPRODUCT(((R5:R41)-(Q5:Q41)&gt;0)*((R5:R41)-(Q5:Q41))*($AM$5:$AM$41="да"))</f>
        <v>0</v>
      </c>
      <c r="S43" s="22" t="n">
        <f aca="false">SUMPRODUCT(((S5:S41)-(R5:R41)&gt;0)*((S5:S41)-(R5:R41))*($AM$5:$AM$41="да"))</f>
        <v>0</v>
      </c>
      <c r="T43" s="22" t="n">
        <f aca="false">SUMPRODUCT(((T5:T41)-(S5:S41)&gt;0)*((T5:T41)-(S5:S41))*($AM$5:$AM$41="да"))</f>
        <v>0</v>
      </c>
      <c r="U43" s="22" t="n">
        <f aca="false">SUMPRODUCT(((U5:U41)-(T5:T41)&gt;0)*((U5:U41)-(T5:T41))*($AM$5:$AM$41="да"))</f>
        <v>0</v>
      </c>
      <c r="V43" s="22" t="n">
        <f aca="false">SUMPRODUCT(((V5:V41)-(U5:U41)&gt;0)*((V5:V41)-(U5:U41))*($AM$5:$AM$41="да"))</f>
        <v>0</v>
      </c>
      <c r="W43" s="22" t="n">
        <f aca="false">SUMPRODUCT(((W5:W41)-(V5:V41)&gt;0)*((W5:W41)-(V5:V41))*($AM$5:$AM$41="да"))</f>
        <v>0</v>
      </c>
      <c r="X43" s="22" t="n">
        <f aca="false">SUMPRODUCT(((X5:X41)-(W5:W41)&gt;0)*((X5:X41)-(W5:W41))*($AM$5:$AM$41="да"))</f>
        <v>0</v>
      </c>
      <c r="Y43" s="22" t="n">
        <f aca="false">SUMPRODUCT(((Y5:Y41)-(X5:X41)&gt;0)*((Y5:Y41)-(X5:X41))*($AM$5:$AM$41="да"))</f>
        <v>0</v>
      </c>
      <c r="Z43" s="22" t="n">
        <f aca="false">SUMPRODUCT(((Z5:Z41)-(Y5:Y41)&gt;0)*((Z5:Z41)-(Y5:Y41))*($AM$5:$AM$41="да"))</f>
        <v>0</v>
      </c>
      <c r="AA43" s="22" t="n">
        <f aca="false">SUMPRODUCT(((AA5:AA41)-(Z5:Z41)&gt;0)*((AA5:AA41)-(Z5:Z41))*($AM$5:$AM$41="да"))</f>
        <v>0</v>
      </c>
      <c r="AB43" s="22" t="n">
        <f aca="false">SUMPRODUCT(((AB5:AB41)-(AA5:AA41)&gt;0)*((AB5:AB41)-(AA5:AA41))*($AM$5:$AM$41="да"))</f>
        <v>0</v>
      </c>
      <c r="AC43" s="22" t="n">
        <f aca="false">SUMPRODUCT(((AC5:AC41)-(AB5:AB41)&gt;0)*((AC5:AC41)-(AB5:AB41))*($AM$5:$AM$41="да"))</f>
        <v>0</v>
      </c>
      <c r="AD43" s="22" t="n">
        <f aca="false">SUMPRODUCT(((AD5:AD41)-(AC5:AC41)&gt;0)*((AD5:AD41)-(AC5:AC41))*($AM$5:$AM$41="да"))</f>
        <v>0</v>
      </c>
      <c r="AE43" s="22" t="n">
        <f aca="false">SUMPRODUCT(((AE5:AE41)-(AD5:AD41)&gt;0)*((AE5:AE41)-(AD5:AD41))*($AM$5:$AM$41="да"))</f>
        <v>0</v>
      </c>
      <c r="AF43" s="22" t="n">
        <f aca="false">SUMPRODUCT(((AF5:AF41)-(AE5:AE41)&gt;0)*((AF5:AF41)-(AE5:AE41))*($AM$5:$AM$41="да"))</f>
        <v>0</v>
      </c>
      <c r="AG43" s="22" t="n">
        <f aca="false">SUMPRODUCT(((AG5:AG41)-(AF5:AF41)&gt;0)*((AG5:AG41)-(AF5:AF41))*($AM$5:$AM$41="да"))</f>
        <v>0</v>
      </c>
      <c r="AH43" s="22" t="n">
        <f aca="false">SUMPRODUCT(((AH5:AH41)-(AG5:AG41)&gt;0)*((AH5:AH41)-(AG5:AG41))*($AM$5:$AM$41="да"))</f>
        <v>0</v>
      </c>
      <c r="AI43" s="22" t="n">
        <f aca="false">SUMPRODUCT(((AI5:AI41)-(AH5:AH41)&gt;0)*((AI5:AI41)-(AH5:AH41))*($AM$5:$AM$41="да"))</f>
        <v>0</v>
      </c>
      <c r="AJ43" s="22" t="n">
        <f aca="false">SUMPRODUCT(((AJ5:AJ41)-(AI5:AI41)&gt;0)*((AJ5:AJ41)-(AI5:AI41))*($AM$5:$AM$41="да"))</f>
        <v>0</v>
      </c>
      <c r="AK43" s="22" t="n">
        <f aca="false">SUMPRODUCT(((AK5:AK41)-(AJ5:AJ41)&gt;0)*((AK5:AK41)-(AJ5:AJ41))*($AM$5:$AM$41="да"))</f>
        <v>0</v>
      </c>
      <c r="AL43" s="22" t="n">
        <f aca="false">SUMPRODUCT(((AL5:AL41)-(AK5:AK41)&gt;0)*((AL5:AL41)-(AK5:AK41))*($AM$5:$AM$41="да"))</f>
        <v>0</v>
      </c>
    </row>
    <row r="44" customFormat="false" ht="15" hidden="false" customHeight="false" outlineLevel="0" collapsed="false">
      <c r="B44" s="7" t="s">
        <v>175</v>
      </c>
      <c r="C44" s="22" t="n">
        <f aca="false">SUMPRODUCT((C5:C41)*($AM$5:$AM$41&lt;&gt;"да"))</f>
        <v>7</v>
      </c>
      <c r="D44" s="22" t="n">
        <f aca="false">SUMPRODUCT(((D5:D41)-(C5:C41)&gt;0)*((D5:D41)-(C5:C41))*($AM$5:$AM$41&lt;&gt;"да"))</f>
        <v>8</v>
      </c>
      <c r="E44" s="22" t="n">
        <f aca="false">SUMPRODUCT(((E5:E41)-(D5:D41)&gt;0)*((E5:E41)-(D5:D41))*($AM$5:$AM$41&lt;&gt;"да"))</f>
        <v>16</v>
      </c>
      <c r="F44" s="22" t="n">
        <f aca="false">SUMPRODUCT(((F5:F41)-(E5:E41)&gt;0)*((F5:F41)-(E5:E41))*($AM$5:$AM$41&lt;&gt;"да"))</f>
        <v>17</v>
      </c>
      <c r="G44" s="22" t="n">
        <f aca="false">SUMPRODUCT(((G5:G41)-(F5:F41)&gt;0)*((G5:G41)-(F5:F41))*($AM$5:$AM$41&lt;&gt;"да"))</f>
        <v>16</v>
      </c>
      <c r="H44" s="22" t="n">
        <f aca="false">SUMPRODUCT(((H5:H41)-(G5:G41)&gt;0)*((H5:H41)-(G5:G41))*($AM$5:$AM$41&lt;&gt;"да"))</f>
        <v>15</v>
      </c>
      <c r="I44" s="22" t="n">
        <f aca="false">SUMPRODUCT(((I5:I41)-(H5:H41)&gt;0)*((I5:I41)-(H5:H41))*($AM$5:$AM$41&lt;&gt;"да"))</f>
        <v>2</v>
      </c>
      <c r="J44" s="22" t="n">
        <f aca="false">SUMPRODUCT(((J5:J41)-(I5:I41)&gt;0)*((J5:J41)-(I5:I41))*($AM$5:$AM$41&lt;&gt;"да"))</f>
        <v>9</v>
      </c>
      <c r="K44" s="22" t="n">
        <f aca="false">SUMPRODUCT(((K5:K41)-(J5:J41)&gt;0)*((K5:K41)-(J5:J41))*($AM$5:$AM$41&lt;&gt;"да"))</f>
        <v>14</v>
      </c>
      <c r="L44" s="22" t="n">
        <f aca="false">SUMPRODUCT(((L5:L41)-(K5:K41)&gt;0)*((L5:L41)-(K5:K41))*($AM$5:$AM$41&lt;&gt;"да"))</f>
        <v>2</v>
      </c>
      <c r="M44" s="22" t="n">
        <f aca="false">SUMPRODUCT(((M5:M41)-(L5:L41)&gt;0)*((M5:M41)-(L5:L41))*($AM$5:$AM$41&lt;&gt;"да"))</f>
        <v>7</v>
      </c>
      <c r="N44" s="22" t="n">
        <f aca="false">SUMPRODUCT(((N5:N41)-(M5:M41)&gt;0)*((N5:N41)-(M5:M41))*($AM$5:$AM$41&lt;&gt;"да"))</f>
        <v>2</v>
      </c>
      <c r="O44" s="22" t="n">
        <f aca="false">SUMPRODUCT(((O5:O41)-(N5:N41)&gt;0)*((O5:O41)-(N5:N41))*($AM$5:$AM$41&lt;&gt;"да"))</f>
        <v>0</v>
      </c>
      <c r="P44" s="22" t="n">
        <f aca="false">SUMPRODUCT(((P5:P41)-(O5:O41)&gt;0)*((P5:P41)-(O5:O41))*($AM$5:$AM$41&lt;&gt;"да"))</f>
        <v>3</v>
      </c>
      <c r="Q44" s="22" t="n">
        <f aca="false">SUMPRODUCT(((Q5:Q41)-(P5:P41)&gt;0)*((Q5:Q41)-(P5:P41))*($AM$5:$AM$41&lt;&gt;"да"))</f>
        <v>10</v>
      </c>
      <c r="R44" s="22" t="n">
        <f aca="false">SUMPRODUCT(((R5:R41)-(Q5:Q41)&gt;0)*((R5:R41)-(Q5:Q41))*($AM$5:$AM$41&lt;&gt;"да"))</f>
        <v>0</v>
      </c>
      <c r="S44" s="22" t="n">
        <f aca="false">SUMPRODUCT(((S5:S41)-(R5:R41)&gt;0)*((S5:S41)-(R5:R41))*($AM$5:$AM$41&lt;&gt;"да"))</f>
        <v>3</v>
      </c>
      <c r="T44" s="22" t="n">
        <f aca="false">SUMPRODUCT(((T5:T41)-(S5:S41)&gt;0)*((T5:T41)-(S5:S41))*($AM$5:$AM$41&lt;&gt;"да"))</f>
        <v>0</v>
      </c>
      <c r="U44" s="22" t="n">
        <f aca="false">SUMPRODUCT(((U5:U41)-(T5:T41)&gt;0)*((U5:U41)-(T5:T41))*($AM$5:$AM$41&lt;&gt;"да"))</f>
        <v>1</v>
      </c>
      <c r="V44" s="22" t="n">
        <f aca="false">SUMPRODUCT(((V5:V41)-(U5:U41)&gt;0)*((V5:V41)-(U5:U41))*($AM$5:$AM$41&lt;&gt;"да"))</f>
        <v>0</v>
      </c>
      <c r="W44" s="22" t="n">
        <f aca="false">SUMPRODUCT(((W5:W41)-(V5:V41)&gt;0)*((W5:W41)-(V5:V41))*($AM$5:$AM$41&lt;&gt;"да"))</f>
        <v>4</v>
      </c>
      <c r="X44" s="22" t="n">
        <f aca="false">SUMPRODUCT(((X5:X41)-(W5:W41)&gt;0)*((X5:X41)-(W5:W41))*($AM$5:$AM$41&lt;&gt;"да"))</f>
        <v>0</v>
      </c>
      <c r="Y44" s="22" t="n">
        <f aca="false">SUMPRODUCT(((Y5:Y41)-(X5:X41)&gt;0)*((Y5:Y41)-(X5:X41))*($AM$5:$AM$41&lt;&gt;"да"))</f>
        <v>4</v>
      </c>
      <c r="Z44" s="22" t="n">
        <f aca="false">SUMPRODUCT(((Z5:Z41)-(Y5:Y41)&gt;0)*((Z5:Z41)-(Y5:Y41))*($AM$5:$AM$41&lt;&gt;"да"))</f>
        <v>0</v>
      </c>
      <c r="AA44" s="22" t="n">
        <f aca="false">SUMPRODUCT(((AA5:AA41)-(Z5:Z41)&gt;0)*((AA5:AA41)-(Z5:Z41))*($AM$5:$AM$41&lt;&gt;"да"))</f>
        <v>2</v>
      </c>
      <c r="AB44" s="22" t="n">
        <f aca="false">SUMPRODUCT(((AB5:AB41)-(AA5:AA41)&gt;0)*((AB5:AB41)-(AA5:AA41))*($AM$5:$AM$41&lt;&gt;"да"))</f>
        <v>0</v>
      </c>
      <c r="AC44" s="22" t="n">
        <f aca="false">SUMPRODUCT(((AC5:AC41)-(AB5:AB41)&gt;0)*((AC5:AC41)-(AB5:AB41))*($AM$5:$AM$41&lt;&gt;"да"))</f>
        <v>8</v>
      </c>
      <c r="AD44" s="22" t="n">
        <f aca="false">SUMPRODUCT(((AD5:AD41)-(AC5:AC41)&gt;0)*((AD5:AD41)-(AC5:AC41))*($AM$5:$AM$41&lt;&gt;"да"))</f>
        <v>0</v>
      </c>
      <c r="AE44" s="22" t="n">
        <f aca="false">SUMPRODUCT(((AE5:AE41)-(AD5:AD41)&gt;0)*((AE5:AE41)-(AD5:AD41))*($AM$5:$AM$41&lt;&gt;"да"))</f>
        <v>1</v>
      </c>
      <c r="AF44" s="22" t="n">
        <f aca="false">SUMPRODUCT(((AF5:AF41)-(AE5:AE41)&gt;0)*((AF5:AF41)-(AE5:AE41))*($AM$5:$AM$41&lt;&gt;"да"))</f>
        <v>1</v>
      </c>
      <c r="AG44" s="22" t="n">
        <f aca="false">SUMPRODUCT(((AG5:AG41)-(AF5:AF41)&gt;0)*((AG5:AG41)-(AF5:AF41))*($AM$5:$AM$41&lt;&gt;"да"))</f>
        <v>1</v>
      </c>
      <c r="AH44" s="22" t="n">
        <f aca="false">SUMPRODUCT(((AH5:AH41)-(AG5:AG41)&gt;0)*((AH5:AH41)-(AG5:AG41))*($AM$5:$AM$41&lt;&gt;"да"))</f>
        <v>3</v>
      </c>
      <c r="AI44" s="22" t="n">
        <f aca="false">SUMPRODUCT(((AI5:AI41)-(AH5:AH41)&gt;0)*((AI5:AI41)-(AH5:AH41))*($AM$5:$AM$41&lt;&gt;"да"))</f>
        <v>3</v>
      </c>
      <c r="AJ44" s="22" t="n">
        <f aca="false">SUMPRODUCT(((AJ5:AJ41)-(AI5:AI41)&gt;0)*((AJ5:AJ41)-(AI5:AI41))*($AM$5:$AM$41&lt;&gt;"да"))</f>
        <v>1</v>
      </c>
      <c r="AK44" s="22" t="n">
        <f aca="false">SUMPRODUCT(((AK5:AK41)-(AJ5:AJ41)&gt;0)*((AK5:AK41)-(AJ5:AJ41))*($AM$5:$AM$41&lt;&gt;"да"))</f>
        <v>1</v>
      </c>
      <c r="AL44" s="22" t="n">
        <f aca="false">SUMPRODUCT(((AL5:AL41)-(AK5:AK41)&gt;0)*((AL5:AL41)-(AK5:AK41))*($AM$5:$AM$41&lt;&gt;"да"))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8" min="3" style="0" width="10"/>
    <col collapsed="false" customWidth="true" hidden="false" outlineLevel="0" max="39" min="39" style="0" width="13"/>
    <col collapsed="false" customWidth="true" hidden="false" outlineLevel="0" max="40" min="40" style="0" width="9"/>
  </cols>
  <sheetData>
    <row r="1" customFormat="false" ht="16.1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3" customFormat="false" ht="15" hidden="false" customHeight="false" outlineLevel="0" collapsed="false">
      <c r="C3" s="3" t="s">
        <v>2</v>
      </c>
      <c r="O3" s="3" t="s">
        <v>3</v>
      </c>
      <c r="AA3" s="3" t="s">
        <v>4</v>
      </c>
    </row>
    <row r="4" customFormat="false" ht="15" hidden="false" customHeight="false" outlineLevel="0" collapsed="false">
      <c r="A4" s="4"/>
      <c r="B4" s="4" t="s">
        <v>178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5" t="s">
        <v>20</v>
      </c>
      <c r="R4" s="5" t="s">
        <v>21</v>
      </c>
      <c r="S4" s="5" t="s">
        <v>22</v>
      </c>
      <c r="T4" s="5" t="s">
        <v>23</v>
      </c>
      <c r="U4" s="5" t="s">
        <v>24</v>
      </c>
      <c r="V4" s="5" t="s">
        <v>25</v>
      </c>
      <c r="W4" s="5" t="s">
        <v>26</v>
      </c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 t="s">
        <v>35</v>
      </c>
      <c r="AG4" s="5" t="s">
        <v>36</v>
      </c>
      <c r="AH4" s="5" t="s">
        <v>37</v>
      </c>
      <c r="AI4" s="5" t="s">
        <v>38</v>
      </c>
      <c r="AJ4" s="5" t="s">
        <v>39</v>
      </c>
      <c r="AK4" s="5" t="s">
        <v>40</v>
      </c>
      <c r="AL4" s="5" t="s">
        <v>41</v>
      </c>
      <c r="AM4" s="5" t="s">
        <v>42</v>
      </c>
    </row>
    <row r="5" customFormat="false" ht="15" hidden="false" customHeight="false" outlineLevel="0" collapsed="false">
      <c r="A5" s="6"/>
      <c r="B5" s="6" t="s">
        <v>179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customFormat="false" ht="15" hidden="false" customHeight="false" outlineLevel="0" collapsed="false">
      <c r="B6" s="7" t="s">
        <v>180</v>
      </c>
      <c r="C6" s="15"/>
      <c r="D6" s="15"/>
      <c r="E6" s="15"/>
      <c r="F6" s="15" t="n">
        <v>2</v>
      </c>
      <c r="G6" s="15" t="n">
        <v>3</v>
      </c>
      <c r="H6" s="15" t="n">
        <v>5</v>
      </c>
      <c r="I6" s="15" t="n">
        <v>5</v>
      </c>
      <c r="J6" s="15" t="n">
        <v>6</v>
      </c>
      <c r="K6" s="15" t="n">
        <v>7</v>
      </c>
      <c r="L6" s="15" t="n">
        <v>9</v>
      </c>
      <c r="M6" s="15" t="n">
        <v>11</v>
      </c>
      <c r="N6" s="15" t="n">
        <v>12</v>
      </c>
      <c r="O6" s="15" t="n">
        <v>14</v>
      </c>
      <c r="P6" s="15" t="n">
        <v>15</v>
      </c>
      <c r="Q6" s="15" t="n">
        <v>17</v>
      </c>
      <c r="R6" s="15" t="n">
        <v>18</v>
      </c>
      <c r="S6" s="15" t="n">
        <v>20</v>
      </c>
      <c r="T6" s="15" t="n">
        <v>21</v>
      </c>
      <c r="U6" s="15" t="n">
        <v>21</v>
      </c>
      <c r="V6" s="15" t="n">
        <v>21</v>
      </c>
      <c r="W6" s="15" t="n">
        <v>21</v>
      </c>
      <c r="X6" s="15" t="n">
        <v>21</v>
      </c>
      <c r="Y6" s="15" t="n">
        <v>21</v>
      </c>
      <c r="Z6" s="15" t="n">
        <v>21</v>
      </c>
      <c r="AA6" s="15" t="n">
        <v>21</v>
      </c>
      <c r="AB6" s="15" t="n">
        <v>21</v>
      </c>
      <c r="AC6" s="15" t="n">
        <v>21</v>
      </c>
      <c r="AD6" s="15" t="n">
        <v>21</v>
      </c>
      <c r="AE6" s="15" t="n">
        <v>21</v>
      </c>
      <c r="AF6" s="15" t="n">
        <v>21</v>
      </c>
      <c r="AG6" s="15" t="n">
        <v>21</v>
      </c>
      <c r="AH6" s="15" t="n">
        <v>21</v>
      </c>
      <c r="AI6" s="15" t="n">
        <v>21</v>
      </c>
      <c r="AJ6" s="15" t="n">
        <v>21</v>
      </c>
      <c r="AK6" s="15" t="n">
        <v>21</v>
      </c>
      <c r="AL6" s="15" t="n">
        <v>21</v>
      </c>
      <c r="AM6" s="9" t="n">
        <f aca="false">SUM(C6:AL6)</f>
        <v>543</v>
      </c>
    </row>
    <row r="7" customFormat="false" ht="15" hidden="false" customHeight="false" outlineLevel="0" collapsed="false">
      <c r="B7" s="7" t="s">
        <v>181</v>
      </c>
      <c r="C7" s="9" t="n">
        <f aca="false">C6</f>
        <v>0</v>
      </c>
      <c r="D7" s="9" t="n">
        <f aca="false">C7-ROUND(C7*Рычаги!$B$6,0)+D6</f>
        <v>0</v>
      </c>
      <c r="E7" s="9" t="n">
        <f aca="false">D7-ROUND(D7*Рычаги!$B$6,0)+E6</f>
        <v>0</v>
      </c>
      <c r="F7" s="9" t="n">
        <f aca="false">E7-ROUND(E7*Рычаги!$B$6,0)+F6</f>
        <v>2</v>
      </c>
      <c r="G7" s="9" t="n">
        <f aca="false">F7-ROUND(F7*Рычаги!$B$6,0)+G6</f>
        <v>5</v>
      </c>
      <c r="H7" s="9" t="n">
        <f aca="false">G7-ROUND(G7*Рычаги!$B$6,0)+H6</f>
        <v>10</v>
      </c>
      <c r="I7" s="9" t="n">
        <f aca="false">H7-ROUND(H7*Рычаги!$B$6,0)+I6</f>
        <v>15</v>
      </c>
      <c r="J7" s="9" t="n">
        <f aca="false">I7-ROUND(I7*Рычаги!$B$6,0)+J6</f>
        <v>21</v>
      </c>
      <c r="K7" s="9" t="n">
        <f aca="false">J7-ROUND(J7*Рычаги!$B$6,0)+K6</f>
        <v>28</v>
      </c>
      <c r="L7" s="9" t="n">
        <f aca="false">K7-ROUND(K7*Рычаги!$B$6,0)+L6</f>
        <v>37</v>
      </c>
      <c r="M7" s="9" t="n">
        <f aca="false">L7-ROUND(L7*Рычаги!$B$6,0)+M6</f>
        <v>48</v>
      </c>
      <c r="N7" s="9" t="n">
        <f aca="false">M7-ROUND(M7*Рычаги!$B$6,0)+N6</f>
        <v>60</v>
      </c>
      <c r="O7" s="9" t="n">
        <f aca="false">N7-ROUND(N7*Рычаги!$B$6,0)+O6</f>
        <v>73</v>
      </c>
      <c r="P7" s="9" t="n">
        <f aca="false">O7-ROUND(O7*Рычаги!$B$6,0)+P6</f>
        <v>87</v>
      </c>
      <c r="Q7" s="9" t="n">
        <f aca="false">P7-ROUND(P7*Рычаги!$B$6,0)+Q6</f>
        <v>103</v>
      </c>
      <c r="R7" s="9" t="n">
        <f aca="false">Q7-ROUND(Q7*Рычаги!$B$6,0)+R6</f>
        <v>120</v>
      </c>
      <c r="S7" s="9" t="n">
        <f aca="false">R7-ROUND(R7*Рычаги!$B$6,0)+S6</f>
        <v>139</v>
      </c>
      <c r="T7" s="9" t="n">
        <f aca="false">S7-ROUND(S7*Рычаги!$B$6,0)+T6</f>
        <v>159</v>
      </c>
      <c r="U7" s="9" t="n">
        <f aca="false">T7-ROUND(T7*Рычаги!$B$6,0)+U6</f>
        <v>178</v>
      </c>
      <c r="V7" s="9" t="n">
        <f aca="false">U7-ROUND(U7*Рычаги!$B$6,0)+V6</f>
        <v>197</v>
      </c>
      <c r="W7" s="9" t="n">
        <f aca="false">V7-ROUND(V7*Рычаги!$B$6,0)+W6</f>
        <v>216</v>
      </c>
      <c r="X7" s="9" t="n">
        <f aca="false">W7-ROUND(W7*Рычаги!$B$6,0)+X6</f>
        <v>235</v>
      </c>
      <c r="Y7" s="9" t="n">
        <f aca="false">X7-ROUND(X7*Рычаги!$B$6,0)+Y6</f>
        <v>254</v>
      </c>
      <c r="Z7" s="9" t="n">
        <f aca="false">Y7-ROUND(Y7*Рычаги!$B$6,0)+Z6</f>
        <v>272</v>
      </c>
      <c r="AA7" s="9" t="n">
        <f aca="false">Z7-ROUND(Z7*Рычаги!$B$6,0)+AA6</f>
        <v>290</v>
      </c>
      <c r="AB7" s="9" t="n">
        <f aca="false">AA7-ROUND(AA7*Рычаги!$B$6,0)+AB6</f>
        <v>308</v>
      </c>
      <c r="AC7" s="9" t="n">
        <f aca="false">AB7-ROUND(AB7*Рычаги!$B$6,0)+AC6</f>
        <v>326</v>
      </c>
      <c r="AD7" s="9" t="n">
        <f aca="false">AC7-ROUND(AC7*Рычаги!$B$6,0)+AD6</f>
        <v>344</v>
      </c>
      <c r="AE7" s="9" t="n">
        <f aca="false">AD7-ROUND(AD7*Рычаги!$B$6,0)+AE6</f>
        <v>362</v>
      </c>
      <c r="AF7" s="9" t="n">
        <f aca="false">AE7-ROUND(AE7*Рычаги!$B$6,0)+AF6</f>
        <v>379</v>
      </c>
      <c r="AG7" s="9" t="n">
        <f aca="false">AF7-ROUND(AF7*Рычаги!$B$6,0)+AG6</f>
        <v>396</v>
      </c>
      <c r="AH7" s="9" t="n">
        <f aca="false">AG7-ROUND(AG7*Рычаги!$B$6,0)+AH6</f>
        <v>413</v>
      </c>
      <c r="AI7" s="9" t="n">
        <f aca="false">AH7-ROUND(AH7*Рычаги!$B$6,0)+AI6</f>
        <v>430</v>
      </c>
      <c r="AJ7" s="9" t="n">
        <f aca="false">AI7-ROUND(AI7*Рычаги!$B$6,0)+AJ6</f>
        <v>447</v>
      </c>
      <c r="AK7" s="9" t="n">
        <f aca="false">AJ7-ROUND(AJ7*Рычаги!$B$6,0)+AK6</f>
        <v>464</v>
      </c>
      <c r="AL7" s="9" t="n">
        <f aca="false">AK7-ROUND(AK7*Рычаги!$B$6,0)+AL6</f>
        <v>480</v>
      </c>
      <c r="AM7" s="9" t="n">
        <f aca="false">AL7</f>
        <v>480</v>
      </c>
    </row>
    <row r="8" customFormat="false" ht="15" hidden="false" customHeight="false" outlineLevel="0" collapsed="false">
      <c r="B8" s="7" t="s">
        <v>182</v>
      </c>
      <c r="C8" s="15"/>
      <c r="D8" s="15"/>
      <c r="E8" s="15"/>
      <c r="F8" s="15"/>
      <c r="G8" s="15"/>
      <c r="H8" s="15" t="n">
        <v>5000</v>
      </c>
      <c r="I8" s="15" t="n">
        <v>5833.33</v>
      </c>
      <c r="J8" s="15" t="n">
        <v>6666.67</v>
      </c>
      <c r="K8" s="15" t="n">
        <v>7500</v>
      </c>
      <c r="L8" s="15" t="n">
        <v>8333.33</v>
      </c>
      <c r="M8" s="15" t="n">
        <v>9166.67</v>
      </c>
      <c r="N8" s="15" t="n">
        <v>10000</v>
      </c>
      <c r="O8" s="15" t="n">
        <v>10833.33</v>
      </c>
      <c r="P8" s="15" t="n">
        <v>11666.67</v>
      </c>
      <c r="Q8" s="15" t="n">
        <v>12500</v>
      </c>
      <c r="R8" s="15" t="n">
        <v>13333.33</v>
      </c>
      <c r="S8" s="15" t="n">
        <v>14166.67</v>
      </c>
      <c r="T8" s="15" t="n">
        <v>15000</v>
      </c>
      <c r="U8" s="15" t="n">
        <v>15000</v>
      </c>
      <c r="V8" s="15" t="n">
        <v>15000</v>
      </c>
      <c r="W8" s="15" t="n">
        <v>15000</v>
      </c>
      <c r="X8" s="15" t="n">
        <v>15000</v>
      </c>
      <c r="Y8" s="15" t="n">
        <v>15000</v>
      </c>
      <c r="Z8" s="15" t="n">
        <v>15000</v>
      </c>
      <c r="AA8" s="15" t="n">
        <v>15000</v>
      </c>
      <c r="AB8" s="15" t="n">
        <v>15000</v>
      </c>
      <c r="AC8" s="15" t="n">
        <v>15000</v>
      </c>
      <c r="AD8" s="15" t="n">
        <v>15000</v>
      </c>
      <c r="AE8" s="15" t="n">
        <v>15000</v>
      </c>
      <c r="AF8" s="15" t="n">
        <v>15000</v>
      </c>
      <c r="AG8" s="15" t="n">
        <v>15000</v>
      </c>
      <c r="AH8" s="15" t="n">
        <v>15000</v>
      </c>
      <c r="AI8" s="15" t="n">
        <v>15000</v>
      </c>
      <c r="AJ8" s="15" t="n">
        <v>15000</v>
      </c>
      <c r="AK8" s="15" t="n">
        <v>15000</v>
      </c>
      <c r="AL8" s="15" t="n">
        <v>15000</v>
      </c>
    </row>
    <row r="9" customFormat="false" ht="15" hidden="false" customHeight="false" outlineLevel="0" collapsed="false">
      <c r="B9" s="7" t="s">
        <v>183</v>
      </c>
      <c r="C9" s="15"/>
      <c r="D9" s="15" t="n">
        <v>1</v>
      </c>
      <c r="E9" s="15" t="n">
        <v>2</v>
      </c>
      <c r="F9" s="15" t="n">
        <v>2</v>
      </c>
      <c r="G9" s="15" t="n">
        <v>2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9" t="n">
        <f aca="false">SUM(C9:AL9)</f>
        <v>7</v>
      </c>
    </row>
    <row r="10" customFormat="false" ht="15" hidden="false" customHeight="false" outlineLevel="0" collapsed="false">
      <c r="B10" s="10" t="s">
        <v>184</v>
      </c>
      <c r="C10" s="11" t="n">
        <f aca="false">C7*C8</f>
        <v>0</v>
      </c>
      <c r="D10" s="11" t="n">
        <f aca="false">D7*D8</f>
        <v>0</v>
      </c>
      <c r="E10" s="11" t="n">
        <f aca="false">E7*E8</f>
        <v>0</v>
      </c>
      <c r="F10" s="11" t="n">
        <f aca="false">F7*F8</f>
        <v>0</v>
      </c>
      <c r="G10" s="11" t="n">
        <f aca="false">G7*G8</f>
        <v>0</v>
      </c>
      <c r="H10" s="11" t="n">
        <f aca="false">H7*H8</f>
        <v>50000</v>
      </c>
      <c r="I10" s="11" t="n">
        <f aca="false">I7*I8</f>
        <v>87499.95</v>
      </c>
      <c r="J10" s="11" t="n">
        <f aca="false">J7*J8</f>
        <v>140000.07</v>
      </c>
      <c r="K10" s="11" t="n">
        <f aca="false">K7*K8</f>
        <v>210000</v>
      </c>
      <c r="L10" s="11" t="n">
        <f aca="false">L7*L8</f>
        <v>308333.21</v>
      </c>
      <c r="M10" s="11" t="n">
        <f aca="false">M7*M8</f>
        <v>440000.16</v>
      </c>
      <c r="N10" s="11" t="n">
        <f aca="false">N7*N8</f>
        <v>600000</v>
      </c>
      <c r="O10" s="11" t="n">
        <f aca="false">O7*O8</f>
        <v>790833.09</v>
      </c>
      <c r="P10" s="11" t="n">
        <f aca="false">P7*P8</f>
        <v>1015000.29</v>
      </c>
      <c r="Q10" s="11" t="n">
        <f aca="false">Q7*Q8</f>
        <v>1287500</v>
      </c>
      <c r="R10" s="11" t="n">
        <f aca="false">R7*R8</f>
        <v>1599999.6</v>
      </c>
      <c r="S10" s="11" t="n">
        <f aca="false">S7*S8</f>
        <v>1969167.13</v>
      </c>
      <c r="T10" s="11" t="n">
        <f aca="false">T7*T8</f>
        <v>2385000</v>
      </c>
      <c r="U10" s="11" t="n">
        <f aca="false">U7*U8</f>
        <v>2670000</v>
      </c>
      <c r="V10" s="11" t="n">
        <f aca="false">V7*V8</f>
        <v>2955000</v>
      </c>
      <c r="W10" s="11" t="n">
        <f aca="false">W7*W8</f>
        <v>3240000</v>
      </c>
      <c r="X10" s="11" t="n">
        <f aca="false">X7*X8</f>
        <v>3525000</v>
      </c>
      <c r="Y10" s="11" t="n">
        <f aca="false">Y7*Y8</f>
        <v>3810000</v>
      </c>
      <c r="Z10" s="11" t="n">
        <f aca="false">Z7*Z8</f>
        <v>4080000</v>
      </c>
      <c r="AA10" s="11" t="n">
        <f aca="false">AA7*AA8</f>
        <v>4350000</v>
      </c>
      <c r="AB10" s="11" t="n">
        <f aca="false">AB7*AB8</f>
        <v>4620000</v>
      </c>
      <c r="AC10" s="11" t="n">
        <f aca="false">AC7*AC8</f>
        <v>4890000</v>
      </c>
      <c r="AD10" s="11" t="n">
        <f aca="false">AD7*AD8</f>
        <v>5160000</v>
      </c>
      <c r="AE10" s="11" t="n">
        <f aca="false">AE7*AE8</f>
        <v>5430000</v>
      </c>
      <c r="AF10" s="11" t="n">
        <f aca="false">AF7*AF8</f>
        <v>5685000</v>
      </c>
      <c r="AG10" s="11" t="n">
        <f aca="false">AG7*AG8</f>
        <v>5940000</v>
      </c>
      <c r="AH10" s="11" t="n">
        <f aca="false">AH7*AH8</f>
        <v>6195000</v>
      </c>
      <c r="AI10" s="11" t="n">
        <f aca="false">AI7*AI8</f>
        <v>6450000</v>
      </c>
      <c r="AJ10" s="11" t="n">
        <f aca="false">AJ7*AJ8</f>
        <v>6705000</v>
      </c>
      <c r="AK10" s="11" t="n">
        <f aca="false">AK7*AK8</f>
        <v>6960000</v>
      </c>
      <c r="AL10" s="11" t="n">
        <f aca="false">AL7*AL8</f>
        <v>7200000</v>
      </c>
      <c r="AM10" s="12" t="n">
        <f aca="false">SUM(C10:AL10)</f>
        <v>100748333.5</v>
      </c>
    </row>
    <row r="11" customFormat="false" ht="15" hidden="false" customHeight="false" outlineLevel="0" collapsed="false">
      <c r="B11" s="10" t="s">
        <v>185</v>
      </c>
      <c r="C11" s="11" t="n">
        <f aca="false">C9*Рычаги!$B$7</f>
        <v>0</v>
      </c>
      <c r="D11" s="11" t="n">
        <f aca="false">D9*Рычаги!$B$7</f>
        <v>4000</v>
      </c>
      <c r="E11" s="11" t="n">
        <f aca="false">E9*Рычаги!$B$7</f>
        <v>8000</v>
      </c>
      <c r="F11" s="11" t="n">
        <f aca="false">F9*Рычаги!$B$7</f>
        <v>8000</v>
      </c>
      <c r="G11" s="11" t="n">
        <f aca="false">G9*Рычаги!$B$7</f>
        <v>8000</v>
      </c>
      <c r="H11" s="11" t="n">
        <f aca="false">H9*Рычаги!$B$7</f>
        <v>0</v>
      </c>
      <c r="I11" s="11" t="n">
        <f aca="false">I9*Рычаги!$B$7</f>
        <v>0</v>
      </c>
      <c r="J11" s="11" t="n">
        <f aca="false">J9*Рычаги!$B$7</f>
        <v>0</v>
      </c>
      <c r="K11" s="11" t="n">
        <f aca="false">K9*Рычаги!$B$7</f>
        <v>0</v>
      </c>
      <c r="L11" s="11" t="n">
        <f aca="false">L9*Рычаги!$B$7</f>
        <v>0</v>
      </c>
      <c r="M11" s="11" t="n">
        <f aca="false">M9*Рычаги!$B$7</f>
        <v>0</v>
      </c>
      <c r="N11" s="11" t="n">
        <f aca="false">N9*Рычаги!$B$7</f>
        <v>0</v>
      </c>
      <c r="O11" s="11" t="n">
        <f aca="false">O9*Рычаги!$B$7</f>
        <v>0</v>
      </c>
      <c r="P11" s="11" t="n">
        <f aca="false">P9*Рычаги!$B$7</f>
        <v>0</v>
      </c>
      <c r="Q11" s="11" t="n">
        <f aca="false">Q9*Рычаги!$B$7</f>
        <v>0</v>
      </c>
      <c r="R11" s="11" t="n">
        <f aca="false">R9*Рычаги!$B$7</f>
        <v>0</v>
      </c>
      <c r="S11" s="11" t="n">
        <f aca="false">S9*Рычаги!$B$7</f>
        <v>0</v>
      </c>
      <c r="T11" s="11" t="n">
        <f aca="false">T9*Рычаги!$B$7</f>
        <v>0</v>
      </c>
      <c r="U11" s="11" t="n">
        <f aca="false">U9*Рычаги!$B$7</f>
        <v>0</v>
      </c>
      <c r="V11" s="11" t="n">
        <f aca="false">V9*Рычаги!$B$7</f>
        <v>0</v>
      </c>
      <c r="W11" s="11" t="n">
        <f aca="false">W9*Рычаги!$B$7</f>
        <v>0</v>
      </c>
      <c r="X11" s="11" t="n">
        <f aca="false">X9*Рычаги!$B$7</f>
        <v>0</v>
      </c>
      <c r="Y11" s="11" t="n">
        <f aca="false">Y9*Рычаги!$B$7</f>
        <v>0</v>
      </c>
      <c r="Z11" s="11" t="n">
        <f aca="false">Z9*Рычаги!$B$7</f>
        <v>0</v>
      </c>
      <c r="AA11" s="11" t="n">
        <f aca="false">AA9*Рычаги!$B$7</f>
        <v>0</v>
      </c>
      <c r="AB11" s="11" t="n">
        <f aca="false">AB9*Рычаги!$B$7</f>
        <v>0</v>
      </c>
      <c r="AC11" s="11" t="n">
        <f aca="false">AC9*Рычаги!$B$7</f>
        <v>0</v>
      </c>
      <c r="AD11" s="11" t="n">
        <f aca="false">AD9*Рычаги!$B$7</f>
        <v>0</v>
      </c>
      <c r="AE11" s="11" t="n">
        <f aca="false">AE9*Рычаги!$B$7</f>
        <v>0</v>
      </c>
      <c r="AF11" s="11" t="n">
        <f aca="false">AF9*Рычаги!$B$7</f>
        <v>0</v>
      </c>
      <c r="AG11" s="11" t="n">
        <f aca="false">AG9*Рычаги!$B$7</f>
        <v>0</v>
      </c>
      <c r="AH11" s="11" t="n">
        <f aca="false">AH9*Рычаги!$B$7</f>
        <v>0</v>
      </c>
      <c r="AI11" s="11" t="n">
        <f aca="false">AI9*Рычаги!$B$7</f>
        <v>0</v>
      </c>
      <c r="AJ11" s="11" t="n">
        <f aca="false">AJ9*Рычаги!$B$7</f>
        <v>0</v>
      </c>
      <c r="AK11" s="11" t="n">
        <f aca="false">AK9*Рычаги!$B$7</f>
        <v>0</v>
      </c>
      <c r="AL11" s="11" t="n">
        <f aca="false">AL9*Рычаги!$B$7</f>
        <v>0</v>
      </c>
      <c r="AM11" s="12" t="n">
        <f aca="false">SUM(C11:AL11)</f>
        <v>28000</v>
      </c>
    </row>
    <row r="12" customFormat="false" ht="15" hidden="false" customHeight="false" outlineLevel="0" collapsed="false">
      <c r="A12" s="6"/>
      <c r="B12" s="6" t="s">
        <v>186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</row>
    <row r="13" customFormat="false" ht="15" hidden="false" customHeight="false" outlineLevel="0" collapsed="false">
      <c r="B13" s="7" t="s">
        <v>187</v>
      </c>
      <c r="C13" s="15"/>
      <c r="D13" s="15"/>
      <c r="E13" s="15"/>
      <c r="F13" s="15"/>
      <c r="G13" s="15"/>
      <c r="H13" s="15"/>
      <c r="I13" s="15"/>
      <c r="J13" s="15"/>
      <c r="K13" s="15" t="n">
        <v>108325</v>
      </c>
      <c r="L13" s="15" t="n">
        <v>216650</v>
      </c>
      <c r="M13" s="15" t="n">
        <v>324975</v>
      </c>
      <c r="N13" s="15" t="n">
        <v>433300</v>
      </c>
      <c r="O13" s="15" t="n">
        <v>525183</v>
      </c>
      <c r="P13" s="15" t="n">
        <v>617067</v>
      </c>
      <c r="Q13" s="15" t="n">
        <v>708950</v>
      </c>
      <c r="R13" s="15" t="n">
        <v>1005967</v>
      </c>
      <c r="S13" s="15" t="n">
        <v>1302983</v>
      </c>
      <c r="T13" s="15" t="n">
        <v>1600000</v>
      </c>
      <c r="U13" s="15" t="n">
        <v>1600000</v>
      </c>
      <c r="V13" s="15" t="n">
        <v>1600000</v>
      </c>
      <c r="W13" s="15" t="n">
        <v>1600000</v>
      </c>
      <c r="X13" s="15" t="n">
        <v>1600000</v>
      </c>
      <c r="Y13" s="15" t="n">
        <v>1600000</v>
      </c>
      <c r="Z13" s="15" t="n">
        <v>1600000</v>
      </c>
      <c r="AA13" s="15" t="n">
        <v>1600000</v>
      </c>
      <c r="AB13" s="15" t="n">
        <v>1600000</v>
      </c>
      <c r="AC13" s="15" t="n">
        <v>1600000</v>
      </c>
      <c r="AD13" s="15" t="n">
        <v>1600000</v>
      </c>
      <c r="AE13" s="15" t="n">
        <v>1600000</v>
      </c>
      <c r="AF13" s="15" t="n">
        <v>1600000</v>
      </c>
      <c r="AG13" s="15" t="n">
        <v>1600000</v>
      </c>
      <c r="AH13" s="15" t="n">
        <v>1600000</v>
      </c>
      <c r="AI13" s="15" t="n">
        <v>1600000</v>
      </c>
      <c r="AJ13" s="15" t="n">
        <v>1600000</v>
      </c>
      <c r="AK13" s="15" t="n">
        <v>1600000</v>
      </c>
      <c r="AL13" s="15" t="n">
        <v>1600000</v>
      </c>
      <c r="AM13" s="9" t="n">
        <f aca="false">SUM(C13:AL13)</f>
        <v>35643400</v>
      </c>
    </row>
    <row r="14" customFormat="false" ht="15" hidden="false" customHeight="false" outlineLevel="0" collapsed="false">
      <c r="B14" s="7" t="s">
        <v>188</v>
      </c>
      <c r="C14" s="9" t="n">
        <f aca="false">ROUND(C13*Рычаги!$B$10,0)</f>
        <v>0</v>
      </c>
      <c r="D14" s="9" t="n">
        <f aca="false">ROUND(D13*Рычаги!$B$10,0)</f>
        <v>0</v>
      </c>
      <c r="E14" s="9" t="n">
        <f aca="false">ROUND(E13*Рычаги!$B$10,0)</f>
        <v>0</v>
      </c>
      <c r="F14" s="9" t="n">
        <f aca="false">ROUND(F13*Рычаги!$B$10,0)</f>
        <v>0</v>
      </c>
      <c r="G14" s="9" t="n">
        <f aca="false">ROUND(G13*Рычаги!$B$10,0)</f>
        <v>0</v>
      </c>
      <c r="H14" s="9" t="n">
        <f aca="false">ROUND(H13*Рычаги!$B$10,0)</f>
        <v>0</v>
      </c>
      <c r="I14" s="9" t="n">
        <f aca="false">ROUND(I13*Рычаги!$B$10,0)</f>
        <v>0</v>
      </c>
      <c r="J14" s="9" t="n">
        <f aca="false">ROUND(J13*Рычаги!$B$10,0)</f>
        <v>0</v>
      </c>
      <c r="K14" s="9" t="n">
        <f aca="false">ROUND(K13*Рычаги!$B$10,0)</f>
        <v>1083</v>
      </c>
      <c r="L14" s="9" t="n">
        <f aca="false">ROUND(L13*Рычаги!$B$10,0)</f>
        <v>2167</v>
      </c>
      <c r="M14" s="9" t="n">
        <f aca="false">ROUND(M13*Рычаги!$B$10,0)</f>
        <v>3250</v>
      </c>
      <c r="N14" s="9" t="n">
        <f aca="false">ROUND(N13*Рычаги!$B$10,0)</f>
        <v>4333</v>
      </c>
      <c r="O14" s="9" t="n">
        <f aca="false">ROUND(O13*Рычаги!$B$10,0)</f>
        <v>5252</v>
      </c>
      <c r="P14" s="9" t="n">
        <f aca="false">ROUND(P13*Рычаги!$B$10,0)</f>
        <v>6171</v>
      </c>
      <c r="Q14" s="9" t="n">
        <f aca="false">ROUND(Q13*Рычаги!$B$10,0)</f>
        <v>7090</v>
      </c>
      <c r="R14" s="9" t="n">
        <f aca="false">ROUND(R13*Рычаги!$B$10,0)</f>
        <v>10060</v>
      </c>
      <c r="S14" s="9" t="n">
        <f aca="false">ROUND(S13*Рычаги!$B$10,0)</f>
        <v>13030</v>
      </c>
      <c r="T14" s="9" t="n">
        <f aca="false">ROUND(T13*Рычаги!$B$10,0)</f>
        <v>16000</v>
      </c>
      <c r="U14" s="9" t="n">
        <f aca="false">ROUND(U13*Рычаги!$B$10,0)</f>
        <v>16000</v>
      </c>
      <c r="V14" s="9" t="n">
        <f aca="false">ROUND(V13*Рычаги!$B$10,0)</f>
        <v>16000</v>
      </c>
      <c r="W14" s="9" t="n">
        <f aca="false">ROUND(W13*Рычаги!$B$10,0)</f>
        <v>16000</v>
      </c>
      <c r="X14" s="9" t="n">
        <f aca="false">ROUND(X13*Рычаги!$B$10,0)</f>
        <v>16000</v>
      </c>
      <c r="Y14" s="9" t="n">
        <f aca="false">ROUND(Y13*Рычаги!$B$10,0)</f>
        <v>16000</v>
      </c>
      <c r="Z14" s="9" t="n">
        <f aca="false">ROUND(Z13*Рычаги!$B$10,0)</f>
        <v>16000</v>
      </c>
      <c r="AA14" s="9" t="n">
        <f aca="false">ROUND(AA13*Рычаги!$B$10,0)</f>
        <v>16000</v>
      </c>
      <c r="AB14" s="9" t="n">
        <f aca="false">ROUND(AB13*Рычаги!$B$10,0)</f>
        <v>16000</v>
      </c>
      <c r="AC14" s="9" t="n">
        <f aca="false">ROUND(AC13*Рычаги!$B$10,0)</f>
        <v>16000</v>
      </c>
      <c r="AD14" s="9" t="n">
        <f aca="false">ROUND(AD13*Рычаги!$B$10,0)</f>
        <v>16000</v>
      </c>
      <c r="AE14" s="9" t="n">
        <f aca="false">ROUND(AE13*Рычаги!$B$10,0)</f>
        <v>16000</v>
      </c>
      <c r="AF14" s="9" t="n">
        <f aca="false">ROUND(AF13*Рычаги!$B$10,0)</f>
        <v>16000</v>
      </c>
      <c r="AG14" s="9" t="n">
        <f aca="false">ROUND(AG13*Рычаги!$B$10,0)</f>
        <v>16000</v>
      </c>
      <c r="AH14" s="9" t="n">
        <f aca="false">ROUND(AH13*Рычаги!$B$10,0)</f>
        <v>16000</v>
      </c>
      <c r="AI14" s="9" t="n">
        <f aca="false">ROUND(AI13*Рычаги!$B$10,0)</f>
        <v>16000</v>
      </c>
      <c r="AJ14" s="9" t="n">
        <f aca="false">ROUND(AJ13*Рычаги!$B$10,0)</f>
        <v>16000</v>
      </c>
      <c r="AK14" s="9" t="n">
        <f aca="false">ROUND(AK13*Рычаги!$B$10,0)</f>
        <v>16000</v>
      </c>
      <c r="AL14" s="9" t="n">
        <f aca="false">ROUND(AL13*Рычаги!$B$10,0)</f>
        <v>16000</v>
      </c>
      <c r="AM14" s="9" t="n">
        <f aca="false">SUM(C14:AL14)</f>
        <v>356436</v>
      </c>
    </row>
    <row r="15" customFormat="false" ht="15" hidden="false" customHeight="false" outlineLevel="0" collapsed="false">
      <c r="B15" s="7" t="s">
        <v>189</v>
      </c>
      <c r="C15" s="9" t="n">
        <f aca="false">C14</f>
        <v>0</v>
      </c>
      <c r="D15" s="9" t="n">
        <f aca="false">C15-ROUND(C15*Рычаги!$B$9,0)+D14</f>
        <v>0</v>
      </c>
      <c r="E15" s="9" t="n">
        <f aca="false">D15-ROUND(D15*Рычаги!$B$9,0)+E14</f>
        <v>0</v>
      </c>
      <c r="F15" s="9" t="n">
        <f aca="false">E15-ROUND(E15*Рычаги!$B$9,0)+F14</f>
        <v>0</v>
      </c>
      <c r="G15" s="9" t="n">
        <f aca="false">F15-ROUND(F15*Рычаги!$B$9,0)+G14</f>
        <v>0</v>
      </c>
      <c r="H15" s="9" t="n">
        <f aca="false">G15-ROUND(G15*Рычаги!$B$9,0)+H14</f>
        <v>0</v>
      </c>
      <c r="I15" s="9" t="n">
        <f aca="false">H15-ROUND(H15*Рычаги!$B$9,0)+I14</f>
        <v>0</v>
      </c>
      <c r="J15" s="9" t="n">
        <f aca="false">I15-ROUND(I15*Рычаги!$B$9,0)+J14</f>
        <v>0</v>
      </c>
      <c r="K15" s="9" t="n">
        <f aca="false">J15-ROUND(J15*Рычаги!$B$9,0)+K14</f>
        <v>1083</v>
      </c>
      <c r="L15" s="9" t="n">
        <f aca="false">K15-ROUND(K15*Рычаги!$B$9,0)+L14</f>
        <v>3163</v>
      </c>
      <c r="M15" s="9" t="n">
        <f aca="false">L15-ROUND(L15*Рычаги!$B$9,0)+M14</f>
        <v>6160</v>
      </c>
      <c r="N15" s="9" t="n">
        <f aca="false">M15-ROUND(M15*Рычаги!$B$9,0)+N14</f>
        <v>10000</v>
      </c>
      <c r="O15" s="9" t="n">
        <f aca="false">N15-ROUND(N15*Рычаги!$B$9,0)+O14</f>
        <v>14452</v>
      </c>
      <c r="P15" s="9" t="n">
        <f aca="false">O15-ROUND(O15*Рычаги!$B$9,0)+P14</f>
        <v>19467</v>
      </c>
      <c r="Q15" s="9" t="n">
        <f aca="false">P15-ROUND(P15*Рычаги!$B$9,0)+Q14</f>
        <v>25000</v>
      </c>
      <c r="R15" s="9" t="n">
        <f aca="false">Q15-ROUND(Q15*Рычаги!$B$9,0)+R14</f>
        <v>33060</v>
      </c>
      <c r="S15" s="9" t="n">
        <f aca="false">R15-ROUND(R15*Рычаги!$B$9,0)+S14</f>
        <v>43445</v>
      </c>
      <c r="T15" s="9" t="n">
        <f aca="false">S15-ROUND(S15*Рычаги!$B$9,0)+T14</f>
        <v>55969</v>
      </c>
      <c r="U15" s="9" t="n">
        <f aca="false">T15-ROUND(T15*Рычаги!$B$9,0)+U14</f>
        <v>67491</v>
      </c>
      <c r="V15" s="9" t="n">
        <f aca="false">U15-ROUND(U15*Рычаги!$B$9,0)+V14</f>
        <v>78092</v>
      </c>
      <c r="W15" s="9" t="n">
        <f aca="false">V15-ROUND(V15*Рычаги!$B$9,0)+W14</f>
        <v>87845</v>
      </c>
      <c r="X15" s="9" t="n">
        <f aca="false">W15-ROUND(W15*Рычаги!$B$9,0)+X14</f>
        <v>96817</v>
      </c>
      <c r="Y15" s="9" t="n">
        <f aca="false">X15-ROUND(X15*Рычаги!$B$9,0)+Y14</f>
        <v>105072</v>
      </c>
      <c r="Z15" s="9" t="n">
        <f aca="false">Y15-ROUND(Y15*Рычаги!$B$9,0)+Z14</f>
        <v>112666</v>
      </c>
      <c r="AA15" s="9" t="n">
        <f aca="false">Z15-ROUND(Z15*Рычаги!$B$9,0)+AA14</f>
        <v>119653</v>
      </c>
      <c r="AB15" s="9" t="n">
        <f aca="false">AA15-ROUND(AA15*Рычаги!$B$9,0)+AB14</f>
        <v>126081</v>
      </c>
      <c r="AC15" s="9" t="n">
        <f aca="false">AB15-ROUND(AB15*Рычаги!$B$9,0)+AC14</f>
        <v>131995</v>
      </c>
      <c r="AD15" s="9" t="n">
        <f aca="false">AC15-ROUND(AC15*Рычаги!$B$9,0)+AD14</f>
        <v>137435</v>
      </c>
      <c r="AE15" s="9" t="n">
        <f aca="false">AD15-ROUND(AD15*Рычаги!$B$9,0)+AE14</f>
        <v>142440</v>
      </c>
      <c r="AF15" s="9" t="n">
        <f aca="false">AE15-ROUND(AE15*Рычаги!$B$9,0)+AF14</f>
        <v>147045</v>
      </c>
      <c r="AG15" s="9" t="n">
        <f aca="false">AF15-ROUND(AF15*Рычаги!$B$9,0)+AG14</f>
        <v>151281</v>
      </c>
      <c r="AH15" s="9" t="n">
        <f aca="false">AG15-ROUND(AG15*Рычаги!$B$9,0)+AH14</f>
        <v>155179</v>
      </c>
      <c r="AI15" s="9" t="n">
        <f aca="false">AH15-ROUND(AH15*Рычаги!$B$9,0)+AI14</f>
        <v>158765</v>
      </c>
      <c r="AJ15" s="9" t="n">
        <f aca="false">AI15-ROUND(AI15*Рычаги!$B$9,0)+AJ14</f>
        <v>162064</v>
      </c>
      <c r="AK15" s="9" t="n">
        <f aca="false">AJ15-ROUND(AJ15*Рычаги!$B$9,0)+AK14</f>
        <v>165099</v>
      </c>
      <c r="AL15" s="9" t="n">
        <f aca="false">AK15-ROUND(AK15*Рычаги!$B$9,0)+AL14</f>
        <v>167891</v>
      </c>
      <c r="AM15" s="9" t="n">
        <f aca="false">AL15</f>
        <v>167891</v>
      </c>
    </row>
    <row r="16" customFormat="false" ht="15" hidden="false" customHeight="false" outlineLevel="0" collapsed="false">
      <c r="B16" s="10" t="s">
        <v>190</v>
      </c>
      <c r="C16" s="11" t="n">
        <f aca="false">C15*Рычаги!$B$8</f>
        <v>0</v>
      </c>
      <c r="D16" s="11" t="n">
        <f aca="false">D15*Рычаги!$B$8</f>
        <v>0</v>
      </c>
      <c r="E16" s="11" t="n">
        <f aca="false">E15*Рычаги!$B$8</f>
        <v>0</v>
      </c>
      <c r="F16" s="11" t="n">
        <f aca="false">F15*Рычаги!$B$8</f>
        <v>0</v>
      </c>
      <c r="G16" s="11" t="n">
        <f aca="false">G15*Рычаги!$B$8</f>
        <v>0</v>
      </c>
      <c r="H16" s="11" t="n">
        <f aca="false">H15*Рычаги!$B$8</f>
        <v>0</v>
      </c>
      <c r="I16" s="11" t="n">
        <f aca="false">I15*Рычаги!$B$8</f>
        <v>0</v>
      </c>
      <c r="J16" s="11" t="n">
        <f aca="false">J15*Рычаги!$B$8</f>
        <v>0</v>
      </c>
      <c r="K16" s="11" t="n">
        <f aca="false">K15*Рычаги!$B$8</f>
        <v>10830</v>
      </c>
      <c r="L16" s="11" t="n">
        <f aca="false">L15*Рычаги!$B$8</f>
        <v>31630</v>
      </c>
      <c r="M16" s="11" t="n">
        <f aca="false">M15*Рычаги!$B$8</f>
        <v>61600</v>
      </c>
      <c r="N16" s="11" t="n">
        <f aca="false">N15*Рычаги!$B$8</f>
        <v>100000</v>
      </c>
      <c r="O16" s="11" t="n">
        <f aca="false">O15*Рычаги!$B$8</f>
        <v>144520</v>
      </c>
      <c r="P16" s="11" t="n">
        <f aca="false">P15*Рычаги!$B$8</f>
        <v>194670</v>
      </c>
      <c r="Q16" s="11" t="n">
        <f aca="false">Q15*Рычаги!$B$8</f>
        <v>250000</v>
      </c>
      <c r="R16" s="11" t="n">
        <f aca="false">R15*Рычаги!$B$8</f>
        <v>330600</v>
      </c>
      <c r="S16" s="11" t="n">
        <f aca="false">S15*Рычаги!$B$8</f>
        <v>434450</v>
      </c>
      <c r="T16" s="11" t="n">
        <f aca="false">T15*Рычаги!$B$8</f>
        <v>559690</v>
      </c>
      <c r="U16" s="11" t="n">
        <f aca="false">U15*Рычаги!$B$8</f>
        <v>674910</v>
      </c>
      <c r="V16" s="11" t="n">
        <f aca="false">V15*Рычаги!$B$8</f>
        <v>780920</v>
      </c>
      <c r="W16" s="11" t="n">
        <f aca="false">W15*Рычаги!$B$8</f>
        <v>878450</v>
      </c>
      <c r="X16" s="11" t="n">
        <f aca="false">X15*Рычаги!$B$8</f>
        <v>968170</v>
      </c>
      <c r="Y16" s="11" t="n">
        <f aca="false">Y15*Рычаги!$B$8</f>
        <v>1050720</v>
      </c>
      <c r="Z16" s="11" t="n">
        <f aca="false">Z15*Рычаги!$B$8</f>
        <v>1126660</v>
      </c>
      <c r="AA16" s="11" t="n">
        <f aca="false">AA15*Рычаги!$B$8</f>
        <v>1196530</v>
      </c>
      <c r="AB16" s="11" t="n">
        <f aca="false">AB15*Рычаги!$B$8</f>
        <v>1260810</v>
      </c>
      <c r="AC16" s="11" t="n">
        <f aca="false">AC15*Рычаги!$B$8</f>
        <v>1319950</v>
      </c>
      <c r="AD16" s="11" t="n">
        <f aca="false">AD15*Рычаги!$B$8</f>
        <v>1374350</v>
      </c>
      <c r="AE16" s="11" t="n">
        <f aca="false">AE15*Рычаги!$B$8</f>
        <v>1424400</v>
      </c>
      <c r="AF16" s="11" t="n">
        <f aca="false">AF15*Рычаги!$B$8</f>
        <v>1470450</v>
      </c>
      <c r="AG16" s="11" t="n">
        <f aca="false">AG15*Рычаги!$B$8</f>
        <v>1512810</v>
      </c>
      <c r="AH16" s="11" t="n">
        <f aca="false">AH15*Рычаги!$B$8</f>
        <v>1551790</v>
      </c>
      <c r="AI16" s="11" t="n">
        <f aca="false">AI15*Рычаги!$B$8</f>
        <v>1587650</v>
      </c>
      <c r="AJ16" s="11" t="n">
        <f aca="false">AJ15*Рычаги!$B$8</f>
        <v>1620640</v>
      </c>
      <c r="AK16" s="11" t="n">
        <f aca="false">AK15*Рычаги!$B$8</f>
        <v>1650990</v>
      </c>
      <c r="AL16" s="11" t="n">
        <f aca="false">AL15*Рычаги!$B$8</f>
        <v>1678910</v>
      </c>
      <c r="AM16" s="12" t="n">
        <f aca="false">SUM(C16:AL16)</f>
        <v>25247100</v>
      </c>
    </row>
    <row r="17" customFormat="false" ht="15" hidden="false" customHeight="false" outlineLevel="0" collapsed="false">
      <c r="B17" s="7" t="s">
        <v>191</v>
      </c>
      <c r="C17" s="15"/>
      <c r="D17" s="15"/>
      <c r="E17" s="15" t="n">
        <v>1</v>
      </c>
      <c r="F17" s="15" t="n">
        <v>1</v>
      </c>
      <c r="G17" s="15" t="n">
        <v>1</v>
      </c>
      <c r="H17" s="15" t="n">
        <v>1</v>
      </c>
      <c r="I17" s="15" t="n">
        <v>2</v>
      </c>
      <c r="J17" s="15" t="n">
        <v>3</v>
      </c>
      <c r="K17" s="15" t="n">
        <v>4</v>
      </c>
      <c r="L17" s="15" t="n">
        <v>4</v>
      </c>
      <c r="M17" s="15" t="n">
        <v>4</v>
      </c>
      <c r="N17" s="15" t="n">
        <v>4</v>
      </c>
      <c r="O17" s="15" t="n">
        <v>5</v>
      </c>
      <c r="P17" s="15" t="n">
        <v>5</v>
      </c>
      <c r="Q17" s="15" t="n">
        <v>6</v>
      </c>
      <c r="R17" s="15" t="n">
        <v>7</v>
      </c>
      <c r="S17" s="15" t="n">
        <v>7</v>
      </c>
      <c r="T17" s="15" t="n">
        <v>8</v>
      </c>
      <c r="U17" s="15" t="n">
        <v>8</v>
      </c>
      <c r="V17" s="15" t="n">
        <v>8</v>
      </c>
      <c r="W17" s="15" t="n">
        <v>8</v>
      </c>
      <c r="X17" s="15" t="n">
        <v>8</v>
      </c>
      <c r="Y17" s="15" t="n">
        <v>8</v>
      </c>
      <c r="Z17" s="15" t="n">
        <v>8</v>
      </c>
      <c r="AA17" s="15" t="n">
        <v>8</v>
      </c>
      <c r="AB17" s="15" t="n">
        <v>8</v>
      </c>
      <c r="AC17" s="15" t="n">
        <v>8</v>
      </c>
      <c r="AD17" s="15" t="n">
        <v>8</v>
      </c>
      <c r="AE17" s="15" t="n">
        <v>8</v>
      </c>
      <c r="AF17" s="15" t="n">
        <v>8</v>
      </c>
      <c r="AG17" s="15" t="n">
        <v>8</v>
      </c>
      <c r="AH17" s="15" t="n">
        <v>8</v>
      </c>
      <c r="AI17" s="15" t="n">
        <v>8</v>
      </c>
      <c r="AJ17" s="15" t="n">
        <v>8</v>
      </c>
      <c r="AK17" s="15" t="n">
        <v>8</v>
      </c>
      <c r="AL17" s="15" t="n">
        <v>8</v>
      </c>
      <c r="AM17" s="9" t="n">
        <f aca="false">SUM(C17:AL17)</f>
        <v>207</v>
      </c>
    </row>
    <row r="18" customFormat="false" ht="15" hidden="false" customHeight="false" outlineLevel="0" collapsed="false">
      <c r="B18" s="10" t="s">
        <v>192</v>
      </c>
      <c r="C18" s="11" t="n">
        <f aca="false">C17*Рычаги!$B$11</f>
        <v>0</v>
      </c>
      <c r="D18" s="11" t="n">
        <f aca="false">D17*Рычаги!$B$11</f>
        <v>0</v>
      </c>
      <c r="E18" s="11" t="n">
        <f aca="false">E17*Рычаги!$B$11</f>
        <v>50000</v>
      </c>
      <c r="F18" s="11" t="n">
        <f aca="false">F17*Рычаги!$B$11</f>
        <v>50000</v>
      </c>
      <c r="G18" s="11" t="n">
        <f aca="false">G17*Рычаги!$B$11</f>
        <v>50000</v>
      </c>
      <c r="H18" s="11" t="n">
        <f aca="false">H17*Рычаги!$B$11</f>
        <v>50000</v>
      </c>
      <c r="I18" s="11" t="n">
        <f aca="false">I17*Рычаги!$B$11</f>
        <v>100000</v>
      </c>
      <c r="J18" s="11" t="n">
        <f aca="false">J17*Рычаги!$B$11</f>
        <v>150000</v>
      </c>
      <c r="K18" s="11" t="n">
        <f aca="false">K17*Рычаги!$B$11</f>
        <v>200000</v>
      </c>
      <c r="L18" s="11" t="n">
        <f aca="false">L17*Рычаги!$B$11</f>
        <v>200000</v>
      </c>
      <c r="M18" s="11" t="n">
        <f aca="false">M17*Рычаги!$B$11</f>
        <v>200000</v>
      </c>
      <c r="N18" s="11" t="n">
        <f aca="false">N17*Рычаги!$B$11</f>
        <v>200000</v>
      </c>
      <c r="O18" s="11" t="n">
        <f aca="false">O17*Рычаги!$B$11</f>
        <v>250000</v>
      </c>
      <c r="P18" s="11" t="n">
        <f aca="false">P17*Рычаги!$B$11</f>
        <v>250000</v>
      </c>
      <c r="Q18" s="11" t="n">
        <f aca="false">Q17*Рычаги!$B$11</f>
        <v>300000</v>
      </c>
      <c r="R18" s="11" t="n">
        <f aca="false">R17*Рычаги!$B$11</f>
        <v>350000</v>
      </c>
      <c r="S18" s="11" t="n">
        <f aca="false">S17*Рычаги!$B$11</f>
        <v>350000</v>
      </c>
      <c r="T18" s="11" t="n">
        <f aca="false">T17*Рычаги!$B$11</f>
        <v>400000</v>
      </c>
      <c r="U18" s="11" t="n">
        <f aca="false">U17*Рычаги!$B$11</f>
        <v>400000</v>
      </c>
      <c r="V18" s="11" t="n">
        <f aca="false">V17*Рычаги!$B$11</f>
        <v>400000</v>
      </c>
      <c r="W18" s="11" t="n">
        <f aca="false">W17*Рычаги!$B$11</f>
        <v>400000</v>
      </c>
      <c r="X18" s="11" t="n">
        <f aca="false">X17*Рычаги!$B$11</f>
        <v>400000</v>
      </c>
      <c r="Y18" s="11" t="n">
        <f aca="false">Y17*Рычаги!$B$11</f>
        <v>400000</v>
      </c>
      <c r="Z18" s="11" t="n">
        <f aca="false">Z17*Рычаги!$B$11</f>
        <v>400000</v>
      </c>
      <c r="AA18" s="11" t="n">
        <f aca="false">AA17*Рычаги!$B$11</f>
        <v>400000</v>
      </c>
      <c r="AB18" s="11" t="n">
        <f aca="false">AB17*Рычаги!$B$11</f>
        <v>400000</v>
      </c>
      <c r="AC18" s="11" t="n">
        <f aca="false">AC17*Рычаги!$B$11</f>
        <v>400000</v>
      </c>
      <c r="AD18" s="11" t="n">
        <f aca="false">AD17*Рычаги!$B$11</f>
        <v>400000</v>
      </c>
      <c r="AE18" s="11" t="n">
        <f aca="false">AE17*Рычаги!$B$11</f>
        <v>400000</v>
      </c>
      <c r="AF18" s="11" t="n">
        <f aca="false">AF17*Рычаги!$B$11</f>
        <v>400000</v>
      </c>
      <c r="AG18" s="11" t="n">
        <f aca="false">AG17*Рычаги!$B$11</f>
        <v>400000</v>
      </c>
      <c r="AH18" s="11" t="n">
        <f aca="false">AH17*Рычаги!$B$11</f>
        <v>400000</v>
      </c>
      <c r="AI18" s="11" t="n">
        <f aca="false">AI17*Рычаги!$B$11</f>
        <v>400000</v>
      </c>
      <c r="AJ18" s="11" t="n">
        <f aca="false">AJ17*Рычаги!$B$11</f>
        <v>400000</v>
      </c>
      <c r="AK18" s="11" t="n">
        <f aca="false">AK17*Рычаги!$B$11</f>
        <v>400000</v>
      </c>
      <c r="AL18" s="11" t="n">
        <f aca="false">AL17*Рычаги!$B$11</f>
        <v>400000</v>
      </c>
      <c r="AM18" s="12" t="n">
        <f aca="false">SUM(C18:AL18)</f>
        <v>10350000</v>
      </c>
    </row>
    <row r="19" customFormat="false" ht="15" hidden="false" customHeight="false" outlineLevel="0" collapsed="false">
      <c r="A19" s="6"/>
      <c r="B19" s="6" t="s">
        <v>193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customFormat="false" ht="15" hidden="false" customHeight="false" outlineLevel="0" collapsed="false">
      <c r="B20" s="7" t="s">
        <v>180</v>
      </c>
      <c r="C20" s="15"/>
      <c r="D20" s="15"/>
      <c r="E20" s="15" t="n">
        <v>2</v>
      </c>
      <c r="F20" s="15" t="n">
        <v>4</v>
      </c>
      <c r="G20" s="15" t="n">
        <v>5</v>
      </c>
      <c r="H20" s="15" t="n">
        <v>6</v>
      </c>
      <c r="I20" s="15" t="n">
        <v>9</v>
      </c>
      <c r="J20" s="15" t="n">
        <v>11</v>
      </c>
      <c r="K20" s="15" t="n">
        <v>13</v>
      </c>
      <c r="L20" s="15" t="n">
        <v>16</v>
      </c>
      <c r="M20" s="15" t="n">
        <v>18</v>
      </c>
      <c r="N20" s="15" t="n">
        <v>20</v>
      </c>
      <c r="O20" s="15" t="n">
        <v>24</v>
      </c>
      <c r="P20" s="15" t="n">
        <v>28</v>
      </c>
      <c r="Q20" s="15" t="n">
        <v>33</v>
      </c>
      <c r="R20" s="15" t="n">
        <v>37</v>
      </c>
      <c r="S20" s="15" t="n">
        <v>41</v>
      </c>
      <c r="T20" s="15" t="n">
        <v>45</v>
      </c>
      <c r="U20" s="15" t="n">
        <v>45</v>
      </c>
      <c r="V20" s="15" t="n">
        <v>45</v>
      </c>
      <c r="W20" s="15" t="n">
        <v>45</v>
      </c>
      <c r="X20" s="15" t="n">
        <v>45</v>
      </c>
      <c r="Y20" s="15" t="n">
        <v>45</v>
      </c>
      <c r="Z20" s="15" t="n">
        <v>45</v>
      </c>
      <c r="AA20" s="15" t="n">
        <v>45</v>
      </c>
      <c r="AB20" s="15" t="n">
        <v>45</v>
      </c>
      <c r="AC20" s="15" t="n">
        <v>45</v>
      </c>
      <c r="AD20" s="15" t="n">
        <v>45</v>
      </c>
      <c r="AE20" s="15" t="n">
        <v>45</v>
      </c>
      <c r="AF20" s="15" t="n">
        <v>45</v>
      </c>
      <c r="AG20" s="15" t="n">
        <v>45</v>
      </c>
      <c r="AH20" s="15" t="n">
        <v>45</v>
      </c>
      <c r="AI20" s="15" t="n">
        <v>45</v>
      </c>
      <c r="AJ20" s="15" t="n">
        <v>45</v>
      </c>
      <c r="AK20" s="15" t="n">
        <v>45</v>
      </c>
      <c r="AL20" s="15" t="n">
        <v>45</v>
      </c>
      <c r="AM20" s="9" t="n">
        <f aca="false">SUM(C20:AL20)</f>
        <v>1122</v>
      </c>
    </row>
    <row r="21" customFormat="false" ht="15" hidden="false" customHeight="false" outlineLevel="0" collapsed="false">
      <c r="B21" s="7" t="s">
        <v>181</v>
      </c>
      <c r="C21" s="9" t="n">
        <f aca="false">C20</f>
        <v>0</v>
      </c>
      <c r="D21" s="9" t="n">
        <f aca="false">C21-ROUND(C21*Рычаги!$B$12,0)+D20</f>
        <v>0</v>
      </c>
      <c r="E21" s="9" t="n">
        <f aca="false">D21-ROUND(D21*Рычаги!$B$12,0)+E20</f>
        <v>2</v>
      </c>
      <c r="F21" s="9" t="n">
        <f aca="false">E21-ROUND(E21*Рычаги!$B$12,0)+F20</f>
        <v>6</v>
      </c>
      <c r="G21" s="9" t="n">
        <f aca="false">F21-ROUND(F21*Рычаги!$B$12,0)+G20</f>
        <v>11</v>
      </c>
      <c r="H21" s="9" t="n">
        <f aca="false">G21-ROUND(G21*Рычаги!$B$12,0)+H20</f>
        <v>17</v>
      </c>
      <c r="I21" s="9" t="n">
        <f aca="false">H21-ROUND(H21*Рычаги!$B$12,0)+I20</f>
        <v>26</v>
      </c>
      <c r="J21" s="9" t="n">
        <f aca="false">I21-ROUND(I21*Рычаги!$B$12,0)+J20</f>
        <v>37</v>
      </c>
      <c r="K21" s="9" t="n">
        <f aca="false">J21-ROUND(J21*Рычаги!$B$12,0)+K20</f>
        <v>49</v>
      </c>
      <c r="L21" s="9" t="n">
        <f aca="false">K21-ROUND(K21*Рычаги!$B$12,0)+L20</f>
        <v>64</v>
      </c>
      <c r="M21" s="9" t="n">
        <f aca="false">L21-ROUND(L21*Рычаги!$B$12,0)+M20</f>
        <v>81</v>
      </c>
      <c r="N21" s="9" t="n">
        <f aca="false">M21-ROUND(M21*Рычаги!$B$12,0)+N20</f>
        <v>100</v>
      </c>
      <c r="O21" s="9" t="n">
        <f aca="false">N21-ROUND(N21*Рычаги!$B$12,0)+O20</f>
        <v>122</v>
      </c>
      <c r="P21" s="9" t="n">
        <f aca="false">O21-ROUND(O21*Рычаги!$B$12,0)+P20</f>
        <v>148</v>
      </c>
      <c r="Q21" s="9" t="n">
        <f aca="false">P21-ROUND(P21*Рычаги!$B$12,0)+Q20</f>
        <v>179</v>
      </c>
      <c r="R21" s="9" t="n">
        <f aca="false">Q21-ROUND(Q21*Рычаги!$B$12,0)+R20</f>
        <v>213</v>
      </c>
      <c r="S21" s="9" t="n">
        <f aca="false">R21-ROUND(R21*Рычаги!$B$12,0)+S20</f>
        <v>251</v>
      </c>
      <c r="T21" s="9" t="n">
        <f aca="false">S21-ROUND(S21*Рычаги!$B$12,0)+T20</f>
        <v>292</v>
      </c>
      <c r="U21" s="9" t="n">
        <f aca="false">T21-ROUND(T21*Рычаги!$B$12,0)+U20</f>
        <v>333</v>
      </c>
      <c r="V21" s="9" t="n">
        <f aca="false">U21-ROUND(U21*Рычаги!$B$12,0)+V20</f>
        <v>373</v>
      </c>
      <c r="W21" s="9" t="n">
        <f aca="false">V21-ROUND(V21*Рычаги!$B$12,0)+W20</f>
        <v>412</v>
      </c>
      <c r="X21" s="9" t="n">
        <f aca="false">W21-ROUND(W21*Рычаги!$B$12,0)+X20</f>
        <v>451</v>
      </c>
      <c r="Y21" s="9" t="n">
        <f aca="false">X21-ROUND(X21*Рычаги!$B$12,0)+Y20</f>
        <v>489</v>
      </c>
      <c r="Z21" s="9" t="n">
        <f aca="false">Y21-ROUND(Y21*Рычаги!$B$12,0)+Z20</f>
        <v>527</v>
      </c>
      <c r="AA21" s="9" t="n">
        <f aca="false">Z21-ROUND(Z21*Рычаги!$B$12,0)+AA20</f>
        <v>564</v>
      </c>
      <c r="AB21" s="9" t="n">
        <f aca="false">AA21-ROUND(AA21*Рычаги!$B$12,0)+AB20</f>
        <v>601</v>
      </c>
      <c r="AC21" s="9" t="n">
        <f aca="false">AB21-ROUND(AB21*Рычаги!$B$12,0)+AC20</f>
        <v>637</v>
      </c>
      <c r="AD21" s="9" t="n">
        <f aca="false">AC21-ROUND(AC21*Рычаги!$B$12,0)+AD20</f>
        <v>672</v>
      </c>
      <c r="AE21" s="9" t="n">
        <f aca="false">AD21-ROUND(AD21*Рычаги!$B$12,0)+AE20</f>
        <v>707</v>
      </c>
      <c r="AF21" s="9" t="n">
        <f aca="false">AE21-ROUND(AE21*Рычаги!$B$12,0)+AF20</f>
        <v>741</v>
      </c>
      <c r="AG21" s="9" t="n">
        <f aca="false">AF21-ROUND(AF21*Рычаги!$B$12,0)+AG20</f>
        <v>775</v>
      </c>
      <c r="AH21" s="9" t="n">
        <f aca="false">AG21-ROUND(AG21*Рычаги!$B$12,0)+AH20</f>
        <v>808</v>
      </c>
      <c r="AI21" s="9" t="n">
        <f aca="false">AH21-ROUND(AH21*Рычаги!$B$12,0)+AI20</f>
        <v>841</v>
      </c>
      <c r="AJ21" s="9" t="n">
        <f aca="false">AI21-ROUND(AI21*Рычаги!$B$12,0)+AJ20</f>
        <v>873</v>
      </c>
      <c r="AK21" s="9" t="n">
        <f aca="false">AJ21-ROUND(AJ21*Рычаги!$B$12,0)+AK20</f>
        <v>905</v>
      </c>
      <c r="AL21" s="9" t="n">
        <f aca="false">AK21-ROUND(AK21*Рычаги!$B$12,0)+AL20</f>
        <v>936</v>
      </c>
      <c r="AM21" s="9" t="n">
        <f aca="false">AL21</f>
        <v>936</v>
      </c>
    </row>
    <row r="22" customFormat="false" ht="15" hidden="false" customHeight="false" outlineLevel="0" collapsed="false">
      <c r="B22" s="7" t="s">
        <v>182</v>
      </c>
      <c r="C22" s="15"/>
      <c r="D22" s="15"/>
      <c r="E22" s="15" t="n">
        <v>800</v>
      </c>
      <c r="F22" s="15" t="n">
        <v>880</v>
      </c>
      <c r="G22" s="15" t="n">
        <v>960</v>
      </c>
      <c r="H22" s="15" t="n">
        <v>1040</v>
      </c>
      <c r="I22" s="15" t="n">
        <v>1120</v>
      </c>
      <c r="J22" s="15" t="n">
        <v>1200</v>
      </c>
      <c r="K22" s="15" t="n">
        <v>1280</v>
      </c>
      <c r="L22" s="15" t="n">
        <v>1360</v>
      </c>
      <c r="M22" s="15" t="n">
        <v>1440</v>
      </c>
      <c r="N22" s="15" t="n">
        <v>1520</v>
      </c>
      <c r="O22" s="15" t="n">
        <v>1600</v>
      </c>
      <c r="P22" s="15" t="n">
        <v>1680</v>
      </c>
      <c r="Q22" s="15" t="n">
        <v>1760</v>
      </c>
      <c r="R22" s="15" t="n">
        <v>1840</v>
      </c>
      <c r="S22" s="15" t="n">
        <v>1920</v>
      </c>
      <c r="T22" s="15" t="n">
        <v>2000</v>
      </c>
      <c r="U22" s="15" t="n">
        <v>2000</v>
      </c>
      <c r="V22" s="15" t="n">
        <v>2000</v>
      </c>
      <c r="W22" s="15" t="n">
        <v>2000</v>
      </c>
      <c r="X22" s="15" t="n">
        <v>2000</v>
      </c>
      <c r="Y22" s="15" t="n">
        <v>2000</v>
      </c>
      <c r="Z22" s="15" t="n">
        <v>2000</v>
      </c>
      <c r="AA22" s="15" t="n">
        <v>2000</v>
      </c>
      <c r="AB22" s="15" t="n">
        <v>2000</v>
      </c>
      <c r="AC22" s="15" t="n">
        <v>2000</v>
      </c>
      <c r="AD22" s="15" t="n">
        <v>2000</v>
      </c>
      <c r="AE22" s="15" t="n">
        <v>2000</v>
      </c>
      <c r="AF22" s="15" t="n">
        <v>2000</v>
      </c>
      <c r="AG22" s="15" t="n">
        <v>2000</v>
      </c>
      <c r="AH22" s="15" t="n">
        <v>2000</v>
      </c>
      <c r="AI22" s="15" t="n">
        <v>2000</v>
      </c>
      <c r="AJ22" s="15" t="n">
        <v>2000</v>
      </c>
      <c r="AK22" s="15" t="n">
        <v>2000</v>
      </c>
      <c r="AL22" s="15" t="n">
        <v>2000</v>
      </c>
    </row>
    <row r="23" customFormat="false" ht="15" hidden="false" customHeight="false" outlineLevel="0" collapsed="false">
      <c r="B23" s="10" t="s">
        <v>194</v>
      </c>
      <c r="C23" s="11" t="n">
        <f aca="false">C21*C22</f>
        <v>0</v>
      </c>
      <c r="D23" s="11" t="n">
        <f aca="false">D21*D22</f>
        <v>0</v>
      </c>
      <c r="E23" s="11" t="n">
        <f aca="false">E21*E22</f>
        <v>1600</v>
      </c>
      <c r="F23" s="11" t="n">
        <f aca="false">F21*F22</f>
        <v>5280</v>
      </c>
      <c r="G23" s="11" t="n">
        <f aca="false">G21*G22</f>
        <v>10560</v>
      </c>
      <c r="H23" s="11" t="n">
        <f aca="false">H21*H22</f>
        <v>17680</v>
      </c>
      <c r="I23" s="11" t="n">
        <f aca="false">I21*I22</f>
        <v>29120</v>
      </c>
      <c r="J23" s="11" t="n">
        <f aca="false">J21*J22</f>
        <v>44400</v>
      </c>
      <c r="K23" s="11" t="n">
        <f aca="false">K21*K22</f>
        <v>62720</v>
      </c>
      <c r="L23" s="11" t="n">
        <f aca="false">L21*L22</f>
        <v>87040</v>
      </c>
      <c r="M23" s="11" t="n">
        <f aca="false">M21*M22</f>
        <v>116640</v>
      </c>
      <c r="N23" s="11" t="n">
        <f aca="false">N21*N22</f>
        <v>152000</v>
      </c>
      <c r="O23" s="11" t="n">
        <f aca="false">O21*O22</f>
        <v>195200</v>
      </c>
      <c r="P23" s="11" t="n">
        <f aca="false">P21*P22</f>
        <v>248640</v>
      </c>
      <c r="Q23" s="11" t="n">
        <f aca="false">Q21*Q22</f>
        <v>315040</v>
      </c>
      <c r="R23" s="11" t="n">
        <f aca="false">R21*R22</f>
        <v>391920</v>
      </c>
      <c r="S23" s="11" t="n">
        <f aca="false">S21*S22</f>
        <v>481920</v>
      </c>
      <c r="T23" s="11" t="n">
        <f aca="false">T21*T22</f>
        <v>584000</v>
      </c>
      <c r="U23" s="11" t="n">
        <f aca="false">U21*U22</f>
        <v>666000</v>
      </c>
      <c r="V23" s="11" t="n">
        <f aca="false">V21*V22</f>
        <v>746000</v>
      </c>
      <c r="W23" s="11" t="n">
        <f aca="false">W21*W22</f>
        <v>824000</v>
      </c>
      <c r="X23" s="11" t="n">
        <f aca="false">X21*X22</f>
        <v>902000</v>
      </c>
      <c r="Y23" s="11" t="n">
        <f aca="false">Y21*Y22</f>
        <v>978000</v>
      </c>
      <c r="Z23" s="11" t="n">
        <f aca="false">Z21*Z22</f>
        <v>1054000</v>
      </c>
      <c r="AA23" s="11" t="n">
        <f aca="false">AA21*AA22</f>
        <v>1128000</v>
      </c>
      <c r="AB23" s="11" t="n">
        <f aca="false">AB21*AB22</f>
        <v>1202000</v>
      </c>
      <c r="AC23" s="11" t="n">
        <f aca="false">AC21*AC22</f>
        <v>1274000</v>
      </c>
      <c r="AD23" s="11" t="n">
        <f aca="false">AD21*AD22</f>
        <v>1344000</v>
      </c>
      <c r="AE23" s="11" t="n">
        <f aca="false">AE21*AE22</f>
        <v>1414000</v>
      </c>
      <c r="AF23" s="11" t="n">
        <f aca="false">AF21*AF22</f>
        <v>1482000</v>
      </c>
      <c r="AG23" s="11" t="n">
        <f aca="false">AG21*AG22</f>
        <v>1550000</v>
      </c>
      <c r="AH23" s="11" t="n">
        <f aca="false">AH21*AH22</f>
        <v>1616000</v>
      </c>
      <c r="AI23" s="11" t="n">
        <f aca="false">AI21*AI22</f>
        <v>1682000</v>
      </c>
      <c r="AJ23" s="11" t="n">
        <f aca="false">AJ21*AJ22</f>
        <v>1746000</v>
      </c>
      <c r="AK23" s="11" t="n">
        <f aca="false">AK21*AK22</f>
        <v>1810000</v>
      </c>
      <c r="AL23" s="11" t="n">
        <f aca="false">AL21*AL22</f>
        <v>1872000</v>
      </c>
      <c r="AM23" s="12" t="n">
        <f aca="false">SUM(C23:AL23)</f>
        <v>26033760</v>
      </c>
    </row>
    <row r="24" customFormat="false" ht="15" hidden="false" customHeight="false" outlineLevel="0" collapsed="false">
      <c r="A24" s="6"/>
      <c r="B24" s="6" t="s">
        <v>195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 customFormat="false" ht="15" hidden="false" customHeight="false" outlineLevel="0" collapsed="false">
      <c r="B25" s="7" t="s">
        <v>196</v>
      </c>
      <c r="C25" s="9" t="n">
        <f aca="false">(C10+C16+C23)*12</f>
        <v>0</v>
      </c>
      <c r="D25" s="9" t="n">
        <f aca="false">(D10+D16+D23)*12</f>
        <v>0</v>
      </c>
      <c r="E25" s="9" t="n">
        <f aca="false">(E10+E16+E23)*12</f>
        <v>19200</v>
      </c>
      <c r="F25" s="9" t="n">
        <f aca="false">(F10+F16+F23)*12</f>
        <v>63360</v>
      </c>
      <c r="G25" s="9" t="n">
        <f aca="false">(G10+G16+G23)*12</f>
        <v>126720</v>
      </c>
      <c r="H25" s="9" t="n">
        <f aca="false">(H10+H16+H23)*12</f>
        <v>812160</v>
      </c>
      <c r="I25" s="9" t="n">
        <f aca="false">(I10+I16+I23)*12</f>
        <v>1399439.4</v>
      </c>
      <c r="J25" s="9" t="n">
        <f aca="false">(J10+J16+J23)*12</f>
        <v>2212800.84</v>
      </c>
      <c r="K25" s="9" t="n">
        <f aca="false">(K10+K16+K23)*12</f>
        <v>3402600</v>
      </c>
      <c r="L25" s="9" t="n">
        <f aca="false">(L10+L16+L23)*12</f>
        <v>5124038.52</v>
      </c>
      <c r="M25" s="9" t="n">
        <f aca="false">(M10+M16+M23)*12</f>
        <v>7418881.92</v>
      </c>
      <c r="N25" s="9" t="n">
        <f aca="false">(N10+N16+N23)*12</f>
        <v>10224000</v>
      </c>
      <c r="O25" s="9" t="n">
        <f aca="false">(O10+O16+O23)*12</f>
        <v>13566637.08</v>
      </c>
      <c r="P25" s="9" t="n">
        <f aca="false">(P10+P16+P23)*12</f>
        <v>17499723.48</v>
      </c>
      <c r="Q25" s="9" t="n">
        <f aca="false">(Q10+Q16+Q23)*12</f>
        <v>22230480</v>
      </c>
      <c r="R25" s="9" t="n">
        <f aca="false">(R10+R16+R23)*12</f>
        <v>27870235.2</v>
      </c>
      <c r="S25" s="9" t="n">
        <f aca="false">(S10+S16+S23)*12</f>
        <v>34626445.56</v>
      </c>
      <c r="T25" s="9" t="n">
        <f aca="false">(T10+T16+T23)*12</f>
        <v>42344280</v>
      </c>
      <c r="U25" s="9" t="n">
        <f aca="false">(U10+U16+U23)*12</f>
        <v>48130920</v>
      </c>
      <c r="V25" s="9" t="n">
        <f aca="false">(V10+V16+V23)*12</f>
        <v>53783040</v>
      </c>
      <c r="W25" s="9" t="n">
        <f aca="false">(W10+W16+W23)*12</f>
        <v>59309400</v>
      </c>
      <c r="X25" s="9" t="n">
        <f aca="false">(X10+X16+X23)*12</f>
        <v>64742040</v>
      </c>
      <c r="Y25" s="9" t="n">
        <f aca="false">(Y10+Y16+Y23)*12</f>
        <v>70064640</v>
      </c>
      <c r="Z25" s="9" t="n">
        <f aca="false">(Z10+Z16+Z23)*12</f>
        <v>75127920</v>
      </c>
      <c r="AA25" s="9" t="n">
        <f aca="false">(AA10+AA16+AA23)*12</f>
        <v>80094360</v>
      </c>
      <c r="AB25" s="9" t="n">
        <f aca="false">(AB10+AB16+AB23)*12</f>
        <v>84993720</v>
      </c>
      <c r="AC25" s="9" t="n">
        <f aca="false">(AC10+AC16+AC23)*12</f>
        <v>89807400</v>
      </c>
      <c r="AD25" s="9" t="n">
        <f aca="false">(AD10+AD16+AD23)*12</f>
        <v>94540200</v>
      </c>
      <c r="AE25" s="9" t="n">
        <f aca="false">(AE10+AE16+AE23)*12</f>
        <v>99220800</v>
      </c>
      <c r="AF25" s="9" t="n">
        <f aca="false">(AF10+AF16+AF23)*12</f>
        <v>103649400</v>
      </c>
      <c r="AG25" s="9" t="n">
        <f aca="false">(AG10+AG16+AG23)*12</f>
        <v>108033720</v>
      </c>
      <c r="AH25" s="9" t="n">
        <f aca="false">(AH10+AH16+AH23)*12</f>
        <v>112353480</v>
      </c>
      <c r="AI25" s="9" t="n">
        <f aca="false">(AI10+AI16+AI23)*12</f>
        <v>116635800</v>
      </c>
      <c r="AJ25" s="9" t="n">
        <f aca="false">(AJ10+AJ16+AJ23)*12</f>
        <v>120859680</v>
      </c>
      <c r="AK25" s="9" t="n">
        <f aca="false">(AK10+AK16+AK23)*12</f>
        <v>125051880</v>
      </c>
      <c r="AL25" s="9" t="n">
        <f aca="false">(AL10+AL16+AL23)*12</f>
        <v>129010920</v>
      </c>
      <c r="AM25" s="9" t="n">
        <f aca="false">AL25</f>
        <v>129010920</v>
      </c>
    </row>
    <row r="26" customFormat="false" ht="15" hidden="false" customHeight="false" outlineLevel="0" collapsed="false">
      <c r="B26" s="10" t="s">
        <v>197</v>
      </c>
      <c r="C26" s="11" t="n">
        <f aca="false">C10*12*Рычаги!$B$20+C23*12*Рычаги!$B$21+C16*12*Рычаги!$B$22+SUM(C18:C18)*Рычаги!$B$23</f>
        <v>0</v>
      </c>
      <c r="D26" s="11" t="n">
        <f aca="false">D10*12*Рычаги!$B$20+D23*12*Рычаги!$B$21+D16*12*Рычаги!$B$22+SUM(C18:D18)*Рычаги!$B$23</f>
        <v>0</v>
      </c>
      <c r="E26" s="11" t="n">
        <f aca="false">E10*12*Рычаги!$B$20+E23*12*Рычаги!$B$21+E16*12*Рычаги!$B$22+SUM(C18:E18)*Рычаги!$B$23</f>
        <v>267000</v>
      </c>
      <c r="F26" s="11" t="n">
        <f aca="false">F10*12*Рычаги!$B$20+F23*12*Рычаги!$B$21+F16*12*Рычаги!$B$22+SUM(C18:F18)*Рычаги!$B$23</f>
        <v>783600</v>
      </c>
      <c r="G26" s="11" t="n">
        <f aca="false">G10*12*Рычаги!$B$20+G23*12*Рычаги!$B$21+G16*12*Рычаги!$B$22+SUM(C18:G18)*Рычаги!$B$23</f>
        <v>1492200</v>
      </c>
      <c r="H26" s="11" t="n">
        <f aca="false">H10*12*Рычаги!$B$20+H23*12*Рычаги!$B$21+H16*12*Рычаги!$B$22+SUM(C18:H18)*Рычаги!$B$23</f>
        <v>8421600</v>
      </c>
      <c r="I26" s="11" t="n">
        <f aca="false">I10*12*Рычаги!$B$20+I23*12*Рычаги!$B$21+I16*12*Рычаги!$B$22+SUM(C18:I18)*Рычаги!$B$23</f>
        <v>14444394</v>
      </c>
      <c r="J26" s="11" t="n">
        <f aca="false">J10*12*Рычаги!$B$20+J23*12*Рычаги!$B$21+J16*12*Рычаги!$B$22+SUM(C18:J18)*Рычаги!$B$23</f>
        <v>22803008.4</v>
      </c>
      <c r="K26" s="11" t="n">
        <f aca="false">K10*12*Рычаги!$B$20+K23*12*Рычаги!$B$21+K16*12*Рычаги!$B$22+SUM(C18:K18)*Рычаги!$B$23</f>
        <v>34221240</v>
      </c>
      <c r="L26" s="11" t="n">
        <f aca="false">L10*12*Рычаги!$B$20+L23*12*Рычаги!$B$21+L16*12*Рычаги!$B$22+SUM(C18:L18)*Рычаги!$B$23</f>
        <v>50238025.2</v>
      </c>
      <c r="M26" s="11" t="n">
        <f aca="false">M10*12*Рычаги!$B$20+M23*12*Рычаги!$B$21+M16*12*Рычаги!$B$22+SUM(C18:M18)*Рычаги!$B$23</f>
        <v>71328619.2</v>
      </c>
      <c r="N26" s="11" t="n">
        <f aca="false">N10*12*Рычаги!$B$20+N23*12*Рычаги!$B$21+N16*12*Рычаги!$B$22+SUM(C18:N18)*Рычаги!$B$23</f>
        <v>96915000</v>
      </c>
      <c r="O26" s="11" t="n">
        <f aca="false">O10*12*Рычаги!$B$20+O23*12*Рычаги!$B$21+O16*12*Рычаги!$B$22+SUM(D18:O18)*Рычаги!$B$23</f>
        <v>127510930.8</v>
      </c>
      <c r="P26" s="11" t="n">
        <f aca="false">P10*12*Рычаги!$B$20+P23*12*Рычаги!$B$21+P16*12*Рычаги!$B$22+SUM(E18:P18)*Рычаги!$B$23</f>
        <v>163605994.8</v>
      </c>
      <c r="Q26" s="11" t="n">
        <f aca="false">Q10*12*Рычаги!$B$20+Q23*12*Рычаги!$B$21+Q16*12*Рычаги!$B$22+SUM(F18:Q18)*Рычаги!$B$23</f>
        <v>207304800</v>
      </c>
      <c r="R26" s="11" t="n">
        <f aca="false">R10*12*Рычаги!$B$20+R23*12*Рычаги!$B$21+R16*12*Рычаги!$B$22+SUM(G18:R18)*Рычаги!$B$23</f>
        <v>258349152</v>
      </c>
      <c r="S26" s="11" t="n">
        <f aca="false">S10*12*Рычаги!$B$20+S23*12*Рычаги!$B$21+S16*12*Рычаги!$B$22+SUM(H18:S18)*Рычаги!$B$23</f>
        <v>318884055.6</v>
      </c>
      <c r="T26" s="11" t="n">
        <f aca="false">T10*12*Рычаги!$B$20+T23*12*Рычаги!$B$21+T16*12*Рычаги!$B$22+SUM(I18:T18)*Рычаги!$B$23</f>
        <v>387570120</v>
      </c>
      <c r="U26" s="11" t="n">
        <f aca="false">U10*12*Рычаги!$B$20+U23*12*Рычаги!$B$21+U16*12*Рычаги!$B$22+SUM(J18:U18)*Рычаги!$B$23</f>
        <v>437590680</v>
      </c>
      <c r="V26" s="11" t="n">
        <f aca="false">V10*12*Рычаги!$B$20+V23*12*Рычаги!$B$21+V16*12*Рычаги!$B$22+SUM(K18:V18)*Рычаги!$B$23</f>
        <v>486854160</v>
      </c>
      <c r="W26" s="11" t="n">
        <f aca="false">W10*12*Рычаги!$B$20+W23*12*Рычаги!$B$21+W16*12*Рычаги!$B$22+SUM(L18:W18)*Рычаги!$B$23</f>
        <v>535395600</v>
      </c>
      <c r="X26" s="11" t="n">
        <f aca="false">X10*12*Рычаги!$B$20+X23*12*Рычаги!$B$21+X16*12*Рычаги!$B$22+SUM(M18:X18)*Рычаги!$B$23</f>
        <v>583562160</v>
      </c>
      <c r="Y26" s="11" t="n">
        <f aca="false">Y10*12*Рычаги!$B$20+Y23*12*Рычаги!$B$21+Y16*12*Рычаги!$B$22+SUM(N18:Y18)*Рычаги!$B$23</f>
        <v>631144560</v>
      </c>
      <c r="Z26" s="11" t="n">
        <f aca="false">Z10*12*Рычаги!$B$20+Z23*12*Рычаги!$B$21+Z16*12*Рычаги!$B$22+SUM(O18:Z18)*Рычаги!$B$23</f>
        <v>676609680</v>
      </c>
      <c r="AA26" s="11" t="n">
        <f aca="false">AA10*12*Рычаги!$B$20+AA23*12*Рычаги!$B$21+AA16*12*Рычаги!$B$22+SUM(P18:AA18)*Рычаги!$B$23</f>
        <v>721468440</v>
      </c>
      <c r="AB26" s="11" t="n">
        <f aca="false">AB10*12*Рычаги!$B$20+AB23*12*Рычаги!$B$21+AB16*12*Рычаги!$B$22+SUM(Q18:AB18)*Рычаги!$B$23</f>
        <v>766058880</v>
      </c>
      <c r="AC26" s="11" t="n">
        <f aca="false">AC10*12*Рычаги!$B$20+AC23*12*Рычаги!$B$21+AC16*12*Рычаги!$B$22+SUM(R18:AC18)*Рычаги!$B$23</f>
        <v>810087600</v>
      </c>
      <c r="AD26" s="11" t="n">
        <f aca="false">AD10*12*Рычаги!$B$20+AD23*12*Рычаги!$B$21+AD16*12*Рычаги!$B$22+SUM(S18:AD18)*Рычаги!$B$23</f>
        <v>853573800</v>
      </c>
      <c r="AE26" s="11" t="n">
        <f aca="false">AE10*12*Рычаги!$B$20+AE23*12*Рычаги!$B$21+AE16*12*Рычаги!$B$22+SUM(T18:AE18)*Рычаги!$B$23</f>
        <v>896851200</v>
      </c>
      <c r="AF26" s="11" t="n">
        <f aca="false">AF10*12*Рычаги!$B$20+AF23*12*Рычаги!$B$21+AF16*12*Рычаги!$B$22+SUM(U18:AF18)*Рычаги!$B$23</f>
        <v>937821600</v>
      </c>
      <c r="AG26" s="11" t="n">
        <f aca="false">AG10*12*Рычаги!$B$20+AG23*12*Рычаги!$B$21+AG16*12*Рычаги!$B$22+SUM(V18:AG18)*Рычаги!$B$23</f>
        <v>978614880</v>
      </c>
      <c r="AH26" s="11" t="n">
        <f aca="false">AH10*12*Рычаги!$B$20+AH23*12*Рычаги!$B$21+AH16*12*Рычаги!$B$22+SUM(W18:AH18)*Рычаги!$B$23</f>
        <v>1019005920</v>
      </c>
      <c r="AI26" s="11" t="n">
        <f aca="false">AI10*12*Рычаги!$B$20+AI23*12*Рычаги!$B$21+AI16*12*Рычаги!$B$22+SUM(X18:AI18)*Рычаги!$B$23</f>
        <v>1059247200</v>
      </c>
      <c r="AJ26" s="11" t="n">
        <f aca="false">AJ10*12*Рычаги!$B$20+AJ23*12*Рычаги!$B$21+AJ16*12*Рычаги!$B$22+SUM(Y18:AJ18)*Рычаги!$B$23</f>
        <v>1099110720</v>
      </c>
      <c r="AK26" s="11" t="n">
        <f aca="false">AK10*12*Рычаги!$B$20+AK23*12*Рычаги!$B$21+AK16*12*Рычаги!$B$22+SUM(Z18:AK18)*Рычаги!$B$23</f>
        <v>1138847520</v>
      </c>
      <c r="AL26" s="11" t="n">
        <f aca="false">AL10*12*Рычаги!$B$20+AL23*12*Рычаги!$B$21+AL16*12*Рычаги!$B$22+SUM(AA18:AL18)*Рычаги!$B$23</f>
        <v>1176427680</v>
      </c>
      <c r="AM26" s="12" t="n">
        <f aca="false">AL26</f>
        <v>1176427680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56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4" t="s">
        <v>200</v>
      </c>
      <c r="B4" s="4" t="s">
        <v>201</v>
      </c>
      <c r="C4" s="4" t="s">
        <v>202</v>
      </c>
    </row>
    <row r="5" customFormat="false" ht="15" hidden="false" customHeight="false" outlineLevel="0" collapsed="false">
      <c r="A5" s="13" t="s">
        <v>44</v>
      </c>
      <c r="B5" s="13"/>
      <c r="C5" s="13"/>
    </row>
    <row r="6" customFormat="false" ht="15" hidden="false" customHeight="false" outlineLevel="0" collapsed="false">
      <c r="A6" s="7" t="s">
        <v>203</v>
      </c>
      <c r="B6" s="23" t="n">
        <v>0.01</v>
      </c>
      <c r="C6" s="2" t="s">
        <v>204</v>
      </c>
    </row>
    <row r="7" customFormat="false" ht="15" hidden="false" customHeight="false" outlineLevel="0" collapsed="false">
      <c r="A7" s="7" t="s">
        <v>205</v>
      </c>
      <c r="B7" s="24" t="n">
        <v>4000</v>
      </c>
      <c r="C7" s="2" t="s">
        <v>206</v>
      </c>
    </row>
    <row r="8" customFormat="false" ht="15" hidden="false" customHeight="false" outlineLevel="0" collapsed="false">
      <c r="A8" s="7" t="s">
        <v>207</v>
      </c>
      <c r="B8" s="24" t="n">
        <v>10</v>
      </c>
      <c r="C8" s="2" t="s">
        <v>204</v>
      </c>
    </row>
    <row r="9" customFormat="false" ht="15" hidden="false" customHeight="false" outlineLevel="0" collapsed="false">
      <c r="A9" s="7" t="s">
        <v>208</v>
      </c>
      <c r="B9" s="23" t="n">
        <v>0.08</v>
      </c>
      <c r="C9" s="2" t="s">
        <v>204</v>
      </c>
    </row>
    <row r="10" customFormat="false" ht="15" hidden="false" customHeight="false" outlineLevel="0" collapsed="false">
      <c r="A10" s="7" t="s">
        <v>209</v>
      </c>
      <c r="B10" s="23" t="n">
        <v>0.01</v>
      </c>
      <c r="C10" s="2" t="s">
        <v>204</v>
      </c>
    </row>
    <row r="11" customFormat="false" ht="15" hidden="false" customHeight="false" outlineLevel="0" collapsed="false">
      <c r="A11" s="7" t="s">
        <v>210</v>
      </c>
      <c r="B11" s="24" t="n">
        <v>50000</v>
      </c>
      <c r="C11" s="2" t="s">
        <v>204</v>
      </c>
    </row>
    <row r="12" customFormat="false" ht="15" hidden="false" customHeight="false" outlineLevel="0" collapsed="false">
      <c r="A12" s="7" t="s">
        <v>211</v>
      </c>
      <c r="B12" s="25" t="n">
        <v>0.015</v>
      </c>
      <c r="C12" s="2" t="s">
        <v>212</v>
      </c>
    </row>
    <row r="13" customFormat="false" ht="15" hidden="false" customHeight="false" outlineLevel="0" collapsed="false">
      <c r="A13" s="13" t="s">
        <v>213</v>
      </c>
      <c r="B13" s="13"/>
      <c r="C13" s="13"/>
    </row>
    <row r="14" customFormat="false" ht="15" hidden="false" customHeight="false" outlineLevel="0" collapsed="false">
      <c r="A14" s="7" t="s">
        <v>214</v>
      </c>
      <c r="B14" s="26" t="n">
        <v>1</v>
      </c>
      <c r="C14" s="2" t="s">
        <v>215</v>
      </c>
    </row>
    <row r="15" customFormat="false" ht="15" hidden="false" customHeight="false" outlineLevel="0" collapsed="false">
      <c r="A15" s="7" t="s">
        <v>216</v>
      </c>
      <c r="B15" s="16" t="n">
        <v>20000</v>
      </c>
      <c r="C15" s="2" t="s">
        <v>217</v>
      </c>
    </row>
    <row r="16" customFormat="false" ht="15" hidden="false" customHeight="false" outlineLevel="0" collapsed="false">
      <c r="A16" s="7" t="s">
        <v>218</v>
      </c>
      <c r="B16" s="16" t="n">
        <v>2000</v>
      </c>
      <c r="C16" s="2" t="s">
        <v>217</v>
      </c>
    </row>
    <row r="17" customFormat="false" ht="15" hidden="false" customHeight="false" outlineLevel="0" collapsed="false">
      <c r="A17" s="13" t="s">
        <v>120</v>
      </c>
      <c r="B17" s="13"/>
      <c r="C17" s="13"/>
    </row>
    <row r="18" customFormat="false" ht="15" hidden="false" customHeight="false" outlineLevel="0" collapsed="false">
      <c r="A18" s="7" t="s">
        <v>219</v>
      </c>
      <c r="B18" s="24" t="n">
        <v>50000000</v>
      </c>
      <c r="C18" s="2" t="s">
        <v>220</v>
      </c>
    </row>
    <row r="19" customFormat="false" ht="15" hidden="false" customHeight="false" outlineLevel="0" collapsed="false">
      <c r="A19" s="13" t="s">
        <v>221</v>
      </c>
      <c r="B19" s="13"/>
      <c r="C19" s="13"/>
    </row>
    <row r="20" customFormat="false" ht="15" hidden="false" customHeight="false" outlineLevel="0" collapsed="false">
      <c r="A20" s="7" t="s">
        <v>222</v>
      </c>
      <c r="B20" s="26" t="n">
        <v>10</v>
      </c>
      <c r="C20" s="2" t="s">
        <v>217</v>
      </c>
    </row>
    <row r="21" customFormat="false" ht="15" hidden="false" customHeight="false" outlineLevel="0" collapsed="false">
      <c r="A21" s="7" t="s">
        <v>223</v>
      </c>
      <c r="B21" s="26" t="n">
        <v>10</v>
      </c>
      <c r="C21" s="2" t="s">
        <v>217</v>
      </c>
    </row>
    <row r="22" customFormat="false" ht="15" hidden="false" customHeight="false" outlineLevel="0" collapsed="false">
      <c r="A22" s="7" t="s">
        <v>224</v>
      </c>
      <c r="B22" s="26" t="n">
        <v>4</v>
      </c>
      <c r="C22" s="2" t="s">
        <v>217</v>
      </c>
    </row>
    <row r="23" customFormat="false" ht="15" hidden="false" customHeight="false" outlineLevel="0" collapsed="false">
      <c r="A23" s="7" t="s">
        <v>225</v>
      </c>
      <c r="B23" s="26" t="n">
        <v>1.5</v>
      </c>
      <c r="C23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</cols>
  <sheetData>
    <row r="1" customFormat="false" ht="16.1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4"/>
      <c r="B4" s="5" t="s">
        <v>2</v>
      </c>
      <c r="C4" s="5" t="s">
        <v>3</v>
      </c>
      <c r="D4" s="5" t="s">
        <v>4</v>
      </c>
      <c r="E4" s="5" t="s">
        <v>42</v>
      </c>
    </row>
    <row r="5" customFormat="false" ht="15" hidden="false" customHeight="false" outlineLevel="0" collapsed="false">
      <c r="A5" s="3" t="s">
        <v>228</v>
      </c>
      <c r="B5" s="27" t="n">
        <f aca="false">SUM(Бюджет!C11:N11)</f>
        <v>3844933.39</v>
      </c>
      <c r="C5" s="27" t="n">
        <f aca="false">SUM(Бюджет!O11:Z11)</f>
        <v>48407980.11</v>
      </c>
      <c r="D5" s="27" t="n">
        <f aca="false">SUM(Бюджет!AA11:AL11)</f>
        <v>110154280</v>
      </c>
      <c r="E5" s="28" t="n">
        <f aca="false">SUM(B5:D5)</f>
        <v>162407193.5</v>
      </c>
    </row>
    <row r="6" customFormat="false" ht="15" hidden="false" customHeight="false" outlineLevel="0" collapsed="false">
      <c r="A6" s="7" t="s">
        <v>52</v>
      </c>
      <c r="B6" s="27" t="n">
        <f aca="false">SUM(Бюджет!C20:N20)</f>
        <v>1180821.017</v>
      </c>
      <c r="C6" s="27" t="n">
        <f aca="false">SUM(Бюджет!O20:Z20)</f>
        <v>13474698.033</v>
      </c>
      <c r="D6" s="27" t="n">
        <f aca="false">SUM(Бюджет!AA20:AL20)</f>
        <v>29925820</v>
      </c>
      <c r="E6" s="29" t="n">
        <f aca="false">SUM(B6:D6)</f>
        <v>44581339.05</v>
      </c>
    </row>
    <row r="7" customFormat="false" ht="15" hidden="false" customHeight="false" outlineLevel="0" collapsed="false">
      <c r="A7" s="7" t="s">
        <v>60</v>
      </c>
      <c r="B7" s="27" t="n">
        <f aca="false">SUM(Бюджет!C53:N53)</f>
        <v>4698000</v>
      </c>
      <c r="C7" s="27" t="n">
        <f aca="false">SUM(Бюджет!O53:Z53)</f>
        <v>8060500</v>
      </c>
      <c r="D7" s="27" t="n">
        <f aca="false">SUM(Бюджет!AA53:AL53)</f>
        <v>9219000</v>
      </c>
      <c r="E7" s="29" t="n">
        <f aca="false">SUM(B7:D7)</f>
        <v>21977500</v>
      </c>
    </row>
    <row r="8" customFormat="false" ht="15" hidden="false" customHeight="false" outlineLevel="0" collapsed="false">
      <c r="A8" s="7" t="s">
        <v>229</v>
      </c>
      <c r="B8" s="27" t="n">
        <f aca="false">SUM(Бюджет!C54:N54)</f>
        <v>469800</v>
      </c>
      <c r="C8" s="27" t="n">
        <f aca="false">SUM(Бюджет!O54:Z54)</f>
        <v>806050</v>
      </c>
      <c r="D8" s="27" t="n">
        <f aca="false">SUM(Бюджет!AA54:AL54)</f>
        <v>921900</v>
      </c>
      <c r="E8" s="29" t="n">
        <f aca="false">SUM(B8:D8)</f>
        <v>2197750</v>
      </c>
    </row>
    <row r="9" customFormat="false" ht="15" hidden="false" customHeight="false" outlineLevel="0" collapsed="false">
      <c r="A9" s="7" t="s">
        <v>230</v>
      </c>
      <c r="B9" s="27" t="n">
        <f aca="false">SUM(Бюджет!C55:N55)</f>
        <v>330000</v>
      </c>
      <c r="C9" s="27" t="n">
        <f aca="false">SUM(Бюджет!O55:Z55)</f>
        <v>50000</v>
      </c>
      <c r="D9" s="27" t="n">
        <f aca="false">SUM(Бюджет!AA55:AL55)</f>
        <v>42000</v>
      </c>
      <c r="E9" s="29" t="n">
        <f aca="false">SUM(B9:D9)</f>
        <v>422000</v>
      </c>
    </row>
    <row r="10" customFormat="false" ht="15" hidden="false" customHeight="false" outlineLevel="0" collapsed="false">
      <c r="A10" s="7" t="s">
        <v>95</v>
      </c>
      <c r="B10" s="27" t="n">
        <f aca="false">SUM(Бюджет!C61:N61)</f>
        <v>471933.34</v>
      </c>
      <c r="C10" s="27" t="n">
        <f aca="false">SUM(Бюджет!O61:Z61)</f>
        <v>898950.01</v>
      </c>
      <c r="D10" s="27" t="n">
        <f aca="false">SUM(Бюджет!AA61:AL61)</f>
        <v>1109416.65</v>
      </c>
      <c r="E10" s="29" t="n">
        <f aca="false">SUM(B10:D10)</f>
        <v>2480300</v>
      </c>
    </row>
    <row r="11" customFormat="false" ht="15" hidden="false" customHeight="false" outlineLevel="0" collapsed="false">
      <c r="A11" s="7" t="s">
        <v>101</v>
      </c>
      <c r="B11" s="27" t="n">
        <f aca="false">SUM(Бюджет!C69:N69)</f>
        <v>351400</v>
      </c>
      <c r="C11" s="27" t="n">
        <f aca="false">SUM(Бюджет!O69:Z69)</f>
        <v>355750</v>
      </c>
      <c r="D11" s="27" t="n">
        <f aca="false">SUM(Бюджет!AA69:AL69)</f>
        <v>377350</v>
      </c>
      <c r="E11" s="29" t="n">
        <f aca="false">SUM(B11:D11)</f>
        <v>1084500</v>
      </c>
    </row>
    <row r="12" customFormat="false" ht="15" hidden="false" customHeight="false" outlineLevel="0" collapsed="false">
      <c r="A12" s="7" t="s">
        <v>109</v>
      </c>
      <c r="B12" s="27" t="n">
        <f aca="false">SUM(Бюджет!C78:N78)</f>
        <v>1261850.012</v>
      </c>
      <c r="C12" s="27" t="n">
        <f aca="false">SUM(Бюджет!O78:Z78)</f>
        <v>8571680.012</v>
      </c>
      <c r="D12" s="27" t="n">
        <f aca="false">SUM(Бюджет!AA78:AL78)</f>
        <v>10108250</v>
      </c>
      <c r="E12" s="29" t="n">
        <f aca="false">SUM(B12:D12)</f>
        <v>19941780.024</v>
      </c>
    </row>
    <row r="13" customFormat="false" ht="15" hidden="false" customHeight="false" outlineLevel="0" collapsed="false">
      <c r="A13" s="7" t="s">
        <v>231</v>
      </c>
      <c r="B13" s="27" t="n">
        <f aca="false">SUM(Бюджет!C79:N79)</f>
        <v>438190.21845</v>
      </c>
      <c r="C13" s="27" t="n">
        <f aca="false">SUM(Бюджет!O79:Z79)</f>
        <v>1610881.40275</v>
      </c>
      <c r="D13" s="27" t="n">
        <f aca="false">SUM(Бюджет!AA79:AL79)</f>
        <v>2585186.8325</v>
      </c>
      <c r="E13" s="29" t="n">
        <f aca="false">SUM(B13:D13)</f>
        <v>4634258.4537</v>
      </c>
    </row>
    <row r="14" customFormat="false" ht="15" hidden="false" customHeight="false" outlineLevel="0" collapsed="false">
      <c r="A14" s="3" t="s">
        <v>119</v>
      </c>
      <c r="B14" s="27" t="n">
        <f aca="false">SUM(Бюджет!C80:N80)</f>
        <v>9201994.58745</v>
      </c>
      <c r="C14" s="27" t="n">
        <f aca="false">SUM(Бюджет!O80:Z80)</f>
        <v>33828509.45775</v>
      </c>
      <c r="D14" s="27" t="n">
        <f aca="false">SUM(Бюджет!AA80:AL80)</f>
        <v>54288923.4825</v>
      </c>
      <c r="E14" s="28" t="n">
        <f aca="false">SUM(B14:D14)</f>
        <v>97319427.5277</v>
      </c>
    </row>
    <row r="15" customFormat="false" ht="15" hidden="false" customHeight="false" outlineLevel="0" collapsed="false">
      <c r="A15" s="3" t="s">
        <v>121</v>
      </c>
      <c r="B15" s="27" t="n">
        <f aca="false">SUM(Бюджет!C82:N82)</f>
        <v>-5357061.19745</v>
      </c>
      <c r="C15" s="27" t="n">
        <f aca="false">SUM(Бюджет!O82:Z82)</f>
        <v>14579470.65225</v>
      </c>
      <c r="D15" s="27" t="n">
        <f aca="false">SUM(Бюджет!AA82:AL82)</f>
        <v>55865356.5175</v>
      </c>
      <c r="E15" s="28" t="n">
        <f aca="false">SUM(B15:D15)</f>
        <v>65087765.9723</v>
      </c>
    </row>
    <row r="16" customFormat="false" ht="15" hidden="false" customHeight="false" outlineLevel="0" collapsed="false">
      <c r="A16" s="7" t="s">
        <v>232</v>
      </c>
      <c r="B16" s="27" t="n">
        <f aca="false">Бюджет!N83</f>
        <v>-5357061.19745</v>
      </c>
      <c r="C16" s="27" t="n">
        <f aca="false">Бюджет!Z83</f>
        <v>9222409.4548</v>
      </c>
      <c r="D16" s="27" t="n">
        <f aca="false">Бюджет!AL83</f>
        <v>65087765.9723</v>
      </c>
    </row>
    <row r="17" customFormat="false" ht="15" hidden="false" customHeight="false" outlineLevel="0" collapsed="false">
      <c r="A17" s="7" t="s">
        <v>233</v>
      </c>
      <c r="B17" s="27" t="n">
        <f aca="false">Бюджет!N84</f>
        <v>44642938.80255</v>
      </c>
      <c r="C17" s="27" t="n">
        <f aca="false">Бюджет!Z84</f>
        <v>59222409.4548</v>
      </c>
      <c r="D17" s="27" t="n">
        <f aca="false">Бюджет!AL84</f>
        <v>115087765.9723</v>
      </c>
    </row>
    <row r="18" customFormat="false" ht="15" hidden="false" customHeight="false" outlineLevel="0" collapsed="false">
      <c r="A18" s="7" t="s">
        <v>234</v>
      </c>
      <c r="B18" s="8" t="n">
        <f aca="false">Штат!N42</f>
        <v>120</v>
      </c>
      <c r="C18" s="8" t="n">
        <f aca="false">Штат!Z42</f>
        <v>144</v>
      </c>
      <c r="D18" s="8" t="n">
        <f aca="false">Штат!AL42</f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235</v>
      </c>
    </row>
    <row r="4" customFormat="false" ht="15" hidden="false" customHeight="false" outlineLevel="0" collapsed="false">
      <c r="A4" s="4" t="s">
        <v>178</v>
      </c>
      <c r="B4" s="4" t="s">
        <v>236</v>
      </c>
      <c r="C4" s="4" t="s">
        <v>237</v>
      </c>
      <c r="D4" s="4" t="s">
        <v>238</v>
      </c>
    </row>
    <row r="5" customFormat="false" ht="15" hidden="false" customHeight="false" outlineLevel="0" collapsed="false">
      <c r="A5" s="13" t="s">
        <v>239</v>
      </c>
      <c r="B5" s="13"/>
      <c r="C5" s="13"/>
      <c r="D5" s="13"/>
    </row>
    <row r="6" customFormat="false" ht="15" hidden="false" customHeight="false" outlineLevel="0" collapsed="false">
      <c r="A6" s="7" t="s">
        <v>240</v>
      </c>
      <c r="C6" s="27" t="n">
        <f aca="false">MIN(Бюджет!C83:AL83)</f>
        <v>-5674947.51135</v>
      </c>
    </row>
    <row r="7" customFormat="false" ht="15" hidden="false" customHeight="false" outlineLevel="0" collapsed="false">
      <c r="A7" s="7" t="s">
        <v>241</v>
      </c>
      <c r="C7" s="8" t="n">
        <f aca="false">MATCH(MIN(Бюджет!C83:AL83),Бюджет!C83:AL83,0)</f>
        <v>14</v>
      </c>
    </row>
    <row r="8" customFormat="false" ht="15" hidden="false" customHeight="false" outlineLevel="0" collapsed="false">
      <c r="A8" s="7" t="s">
        <v>242</v>
      </c>
      <c r="C8" s="8" t="n">
        <f aca="false">IFERROR(MATCH(1,Бюджет!C86:AL86,0),"нет за 36 мес.")</f>
        <v>21</v>
      </c>
    </row>
    <row r="9" customFormat="false" ht="15" hidden="false" customHeight="false" outlineLevel="0" collapsed="false">
      <c r="A9" s="7" t="s">
        <v>243</v>
      </c>
      <c r="C9" s="8" t="n">
        <f aca="false">IFERROR(MATCH(1,Бюджет!C85:AL85,0),"нет за 36 мес.")</f>
        <v>15</v>
      </c>
    </row>
    <row r="10" customFormat="false" ht="15" hidden="false" customHeight="false" outlineLevel="0" collapsed="false">
      <c r="A10" s="7" t="s">
        <v>244</v>
      </c>
      <c r="C10" s="27" t="n">
        <f aca="false">Бюджет!AL84</f>
        <v>115087765.9723</v>
      </c>
    </row>
    <row r="11" customFormat="false" ht="15" hidden="false" customHeight="false" outlineLevel="0" collapsed="false">
      <c r="A11" s="7" t="s">
        <v>245</v>
      </c>
      <c r="C11" s="27" t="n">
        <f aca="false">Выручка!AL25</f>
        <v>129010920</v>
      </c>
    </row>
    <row r="12" customFormat="false" ht="15" hidden="false" customHeight="false" outlineLevel="0" collapsed="false">
      <c r="A12" s="7" t="s">
        <v>246</v>
      </c>
      <c r="C12" s="27" t="n">
        <f aca="false">Выручка!AL26</f>
        <v>1176427680</v>
      </c>
    </row>
    <row r="14" customFormat="false" ht="15" hidden="false" customHeight="false" outlineLevel="0" collapsed="false">
      <c r="A14" s="13" t="s">
        <v>247</v>
      </c>
      <c r="B14" s="13"/>
      <c r="C14" s="13"/>
      <c r="D14" s="13"/>
    </row>
    <row r="15" customFormat="false" ht="15" hidden="false" customHeight="false" outlineLevel="0" collapsed="false">
      <c r="A15" s="7" t="s">
        <v>248</v>
      </c>
      <c r="B15" s="15" t="n">
        <v>25</v>
      </c>
      <c r="C15" s="8" t="n">
        <f aca="false">Штат!E42</f>
        <v>36</v>
      </c>
      <c r="D15" s="30" t="str">
        <f aca="false">IF(C15&gt;=B15,"да","НЕТ")</f>
        <v>да</v>
      </c>
    </row>
    <row r="16" customFormat="false" ht="15" hidden="false" customHeight="false" outlineLevel="0" collapsed="false">
      <c r="A16" s="7" t="s">
        <v>249</v>
      </c>
      <c r="B16" s="15" t="n">
        <v>40</v>
      </c>
      <c r="C16" s="8" t="n">
        <f aca="false">Штат!E42</f>
        <v>36</v>
      </c>
      <c r="D16" s="30" t="str">
        <f aca="false">IF(C16&lt;=B16,"да","НЕТ")</f>
        <v>да</v>
      </c>
    </row>
    <row r="17" customFormat="false" ht="15" hidden="false" customHeight="false" outlineLevel="0" collapsed="false">
      <c r="A17" s="7" t="s">
        <v>250</v>
      </c>
      <c r="B17" s="15" t="n">
        <v>70</v>
      </c>
      <c r="C17" s="8" t="n">
        <f aca="false">Штат!H42</f>
        <v>84</v>
      </c>
      <c r="D17" s="30" t="str">
        <f aca="false">IF(C17&gt;=B17,"да","НЕТ")</f>
        <v>да</v>
      </c>
    </row>
    <row r="18" customFormat="false" ht="15" hidden="false" customHeight="false" outlineLevel="0" collapsed="false">
      <c r="A18" s="7" t="s">
        <v>251</v>
      </c>
      <c r="B18" s="15" t="n">
        <v>135</v>
      </c>
      <c r="C18" s="8" t="n">
        <f aca="false">Штат!T42</f>
        <v>135</v>
      </c>
      <c r="D18" s="30" t="str">
        <f aca="false">IF(ABS(C18-B18)&lt;=5,"да","НЕТ")</f>
        <v>да</v>
      </c>
    </row>
    <row r="19" customFormat="false" ht="15" hidden="false" customHeight="false" outlineLevel="0" collapsed="false">
      <c r="A19" s="7" t="s">
        <v>252</v>
      </c>
      <c r="B19" s="24" t="n">
        <v>42000000</v>
      </c>
      <c r="C19" s="27" t="n">
        <f aca="false">Выручка!T25</f>
        <v>42344280</v>
      </c>
      <c r="D19" s="30" t="str">
        <f aca="false">IF(ABS(C19-B19)&lt;=1500000,"да","НЕТ")</f>
        <v>да</v>
      </c>
    </row>
    <row r="20" customFormat="false" ht="15" hidden="false" customHeight="false" outlineLevel="0" collapsed="false">
      <c r="A20" s="7" t="s">
        <v>253</v>
      </c>
      <c r="B20" s="15" t="n">
        <v>157</v>
      </c>
      <c r="C20" s="8" t="n">
        <f aca="false">Выручка!T7</f>
        <v>159</v>
      </c>
      <c r="D20" s="30" t="str">
        <f aca="false">IF(ABS(C20-B20)&lt;=5,"да","НЕТ")</f>
        <v>да</v>
      </c>
    </row>
    <row r="21" customFormat="false" ht="15" hidden="false" customHeight="false" outlineLevel="0" collapsed="false">
      <c r="A21" s="7" t="s">
        <v>254</v>
      </c>
      <c r="B21" s="15" t="n">
        <v>256</v>
      </c>
      <c r="C21" s="8" t="n">
        <f aca="false">Выручка!T21</f>
        <v>292</v>
      </c>
      <c r="D21" s="30" t="str">
        <f aca="false">IF(ABS(C21-B21)&lt;=10,"да","НЕТ")</f>
        <v>НЕТ</v>
      </c>
    </row>
    <row r="22" customFormat="false" ht="15" hidden="false" customHeight="false" outlineLevel="0" collapsed="false">
      <c r="A22" s="7" t="s">
        <v>255</v>
      </c>
      <c r="B22" s="15" t="n">
        <v>63500</v>
      </c>
      <c r="C22" s="8" t="n">
        <f aca="false">Выручка!T15</f>
        <v>55969</v>
      </c>
      <c r="D22" s="30" t="str">
        <f aca="false">IF(ABS(C22-B22)&lt;=2000,"да","НЕТ")</f>
        <v>НЕТ</v>
      </c>
    </row>
    <row r="23" customFormat="false" ht="15" hidden="false" customHeight="false" outlineLevel="0" collapsed="false">
      <c r="A23" s="7" t="s">
        <v>256</v>
      </c>
      <c r="B23" s="24" t="n">
        <v>42000000</v>
      </c>
      <c r="C23" s="27" t="n">
        <f aca="false">SUM(Бюджет!C80:T80)</f>
        <v>22531783.6527</v>
      </c>
      <c r="D23" s="30" t="str">
        <f aca="false">IF(ABS(C23-B23)&lt;=5000000,"да","НЕТ")</f>
        <v>НЕТ</v>
      </c>
    </row>
    <row r="24" customFormat="false" ht="15" hidden="false" customHeight="false" outlineLevel="0" collapsed="false">
      <c r="A24" s="7" t="s">
        <v>257</v>
      </c>
      <c r="B24" s="24" t="n">
        <v>21000000</v>
      </c>
      <c r="C24" s="27" t="n">
        <f aca="false">Бюджет!T84</f>
        <v>46391299.8473</v>
      </c>
      <c r="D24" s="30" t="str">
        <f aca="false">IF(ABS(C24-B24)&lt;=3000000,"да","НЕТ")</f>
        <v>НЕТ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2026-09-28T15:09:45Z</dcterms:created>
  <dc:creator>openpyxl</dc:creator>
  <dc:description/>
  <dc:language>en-US</dc:language>
  <cp:lastModifiedBy/>
  <dcterms:modified xsi:type="dcterms:W3CDTF">2026-09-28T15:09:45Z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