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ычаги" sheetId="1" state="visible" r:id="rId3"/>
    <sheet name="Модель" sheetId="2" state="visible" r:id="rId4"/>
    <sheet name="Годы" sheetId="3" state="visible" r:id="rId5"/>
    <sheet name="Оценка" sheetId="4" state="visible" r:id="rId6"/>
    <sheet name="Проверк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<sst xmlns="http://schemas.openxmlformats.org/spreadsheetml/2006/main" count="204" uniqueCount="137">
  <si>
    <t xml:space="preserve">Рычаги финмодели WIF · 36 месяцев</t>
  </si>
  <si>
    <t xml:space="preserve">Синим — правится руками. Жёлтым — допущения, которых в стратегии нет: их первыми заменить фактом. Поток клиентов, чеки и штат по месяцам — синие строки на листе «Модель».</t>
  </si>
  <si>
    <t xml:space="preserve">Рычаг</t>
  </si>
  <si>
    <t xml:space="preserve">Значение</t>
  </si>
  <si>
    <t xml:space="preserve">Откуда</t>
  </si>
  <si>
    <t xml:space="preserve">ТРУД · ИИ-СОТРУДНИКИ</t>
  </si>
  <si>
    <t xml:space="preserve">Отток компаний в месяц</t>
  </si>
  <si>
    <t xml:space="preserve">target-state-18m.md: не выше 1%</t>
  </si>
  <si>
    <t xml:space="preserve">Цена пилота, $ разово</t>
  </si>
  <si>
    <t xml:space="preserve">90-day-plan.md: $3–5 тыс.</t>
  </si>
  <si>
    <t xml:space="preserve">ЛИЧНОСТЬ · ПЕРСОНАЖИ</t>
  </si>
  <si>
    <t xml:space="preserve">Цена подписки, $/мес</t>
  </si>
  <si>
    <t xml:space="preserve">target-state-18m.md</t>
  </si>
  <si>
    <t xml:space="preserve">Отток подписчиков в месяц</t>
  </si>
  <si>
    <t xml:space="preserve">Конверсия визита в подписку</t>
  </si>
  <si>
    <t xml:space="preserve">Чек сделки с брендом, $</t>
  </si>
  <si>
    <t xml:space="preserve">КАПИТАЛ · УЧЁТ РАСХОДОВ НА ИИ</t>
  </si>
  <si>
    <t xml:space="preserve">Допущение: в стратегии нет</t>
  </si>
  <si>
    <t xml:space="preserve">КОМАНДА</t>
  </si>
  <si>
    <t xml:space="preserve">Полная стоимость ставки, $/год</t>
  </si>
  <si>
    <t xml:space="preserve">roles.md: вилка 120–200 тыс.</t>
  </si>
  <si>
    <t xml:space="preserve">Стоимость найма, $ на человека</t>
  </si>
  <si>
    <t xml:space="preserve">Допущение: рекрутинг и онбординг</t>
  </si>
  <si>
    <t xml:space="preserve">СЕБЕСТОИМОСТЬ, ДОЛЯ ВЫРУЧКИ</t>
  </si>
  <si>
    <t xml:space="preserve">Труд: инференс и проверка работы агента</t>
  </si>
  <si>
    <t xml:space="preserve">Допущение</t>
  </si>
  <si>
    <t xml:space="preserve">Подписка: платформы, хостинг, поддержка</t>
  </si>
  <si>
    <t xml:space="preserve">Бренды: производство под заказ</t>
  </si>
  <si>
    <t xml:space="preserve">Капитал: инфраструктура биллинга</t>
  </si>
  <si>
    <t xml:space="preserve">ПРИВЛЕЧЕНИЕ</t>
  </si>
  <si>
    <t xml:space="preserve">Комиссия продажам, доля годового контракта Труда</t>
  </si>
  <si>
    <t xml:space="preserve">Маркетинг на одну компанию Труда, $</t>
  </si>
  <si>
    <t xml:space="preserve">Маркетинг на одну компанию Капитала, $</t>
  </si>
  <si>
    <t xml:space="preserve">Стоимость визита в Личности, $</t>
  </si>
  <si>
    <t xml:space="preserve">Допущение — самое непроверенное</t>
  </si>
  <si>
    <t xml:space="preserve">ПОСТОЯННЫЕ, $ В МЕСЯЦ</t>
  </si>
  <si>
    <t xml:space="preserve">Производство выпусков Личности</t>
  </si>
  <si>
    <t xml:space="preserve">Общая платформа: модели, хостинг, инструменты</t>
  </si>
  <si>
    <t xml:space="preserve">Юрлица США/ЕС, аудит, комплаенс</t>
  </si>
  <si>
    <t xml:space="preserve">Офис, поездки, софт — доля ФОТ</t>
  </si>
  <si>
    <t xml:space="preserve">ДЕНЬГИ</t>
  </si>
  <si>
    <t xml:space="preserve">Раунд, $</t>
  </si>
  <si>
    <t xml:space="preserve">Дека v10</t>
  </si>
  <si>
    <t xml:space="preserve">ОЦЕНКА — МУЛЬТИПЛИКАТОРЫ</t>
  </si>
  <si>
    <t xml:space="preserve">Труд, × ARR</t>
  </si>
  <si>
    <t xml:space="preserve">Допущение: проверить по сделкам-аналогам</t>
  </si>
  <si>
    <t xml:space="preserve">Капитал, × ARR</t>
  </si>
  <si>
    <t xml:space="preserve">Подписка, × ARR</t>
  </si>
  <si>
    <t xml:space="preserve">Бренды, × выручки за 12 месяцев</t>
  </si>
  <si>
    <t xml:space="preserve">Модель по месяцам · базовый сценарий</t>
  </si>
  <si>
    <t xml:space="preserve">Синие строки — план: новые клиенты, визиты, сделки, чеки, штат. Остальное — формулы. База = прошлый месяц − ROUND(прошлый × отток) + новые; все штуки целые.</t>
  </si>
  <si>
    <t xml:space="preserve">Год 1</t>
  </si>
  <si>
    <t xml:space="preserve">Год 2</t>
  </si>
  <si>
    <t xml:space="preserve">Год 3</t>
  </si>
  <si>
    <t xml:space="preserve">Месяц</t>
  </si>
  <si>
    <t xml:space="preserve">Ед.</t>
  </si>
  <si>
    <t xml:space="preserve">Новых компаний за месяц</t>
  </si>
  <si>
    <t xml:space="preserve">шт.</t>
  </si>
  <si>
    <t xml:space="preserve">Компаний</t>
  </si>
  <si>
    <t xml:space="preserve">Платёж компании</t>
  </si>
  <si>
    <t xml:space="preserve">$/мес</t>
  </si>
  <si>
    <t xml:space="preserve">Пилотов запущено</t>
  </si>
  <si>
    <t xml:space="preserve">Выручка Труда</t>
  </si>
  <si>
    <t xml:space="preserve">Визитов на платное предложение</t>
  </si>
  <si>
    <t xml:space="preserve">в мес.</t>
  </si>
  <si>
    <t xml:space="preserve">Новых подписчиков</t>
  </si>
  <si>
    <t xml:space="preserve">чел.</t>
  </si>
  <si>
    <t xml:space="preserve">Подписчиков</t>
  </si>
  <si>
    <t xml:space="preserve">Выручка подписки</t>
  </si>
  <si>
    <t xml:space="preserve">Сделок с брендами</t>
  </si>
  <si>
    <t xml:space="preserve">Выручка от брендов</t>
  </si>
  <si>
    <t xml:space="preserve">Выручка Капитала</t>
  </si>
  <si>
    <t xml:space="preserve">ВЫРУЧКА</t>
  </si>
  <si>
    <t xml:space="preserve">Выручка всего</t>
  </si>
  <si>
    <t xml:space="preserve">ARR Труда (без пилотов)</t>
  </si>
  <si>
    <t xml:space="preserve">$</t>
  </si>
  <si>
    <t xml:space="preserve">ARR группы (без брендов и пилотов)</t>
  </si>
  <si>
    <t xml:space="preserve">СЕБЕСТОИМОСТЬ</t>
  </si>
  <si>
    <t xml:space="preserve">Себестоимость</t>
  </si>
  <si>
    <t xml:space="preserve">Валовая прибыль</t>
  </si>
  <si>
    <t xml:space="preserve">ОПЕРАЦИОННЫЕ РАСХОДЫ</t>
  </si>
  <si>
    <t xml:space="preserve">Штат</t>
  </si>
  <si>
    <t xml:space="preserve">ставок</t>
  </si>
  <si>
    <t xml:space="preserve">ФОТ</t>
  </si>
  <si>
    <t xml:space="preserve">Найм</t>
  </si>
  <si>
    <t xml:space="preserve">Комиссии продажам</t>
  </si>
  <si>
    <t xml:space="preserve">Привлечение клиентов</t>
  </si>
  <si>
    <t xml:space="preserve">Контент, платформа, юрлица</t>
  </si>
  <si>
    <t xml:space="preserve">Офис, поездки, софт</t>
  </si>
  <si>
    <t xml:space="preserve">Операционные всего</t>
  </si>
  <si>
    <t xml:space="preserve">ПРИБЫЛЬ И ДЕНЬГИ</t>
  </si>
  <si>
    <t xml:space="preserve">Расходы всего</t>
  </si>
  <si>
    <t xml:space="preserve">EBITDA</t>
  </si>
  <si>
    <t xml:space="preserve">Деньги на счету</t>
  </si>
  <si>
    <t xml:space="preserve">В плюсе с этого месяца до конца</t>
  </si>
  <si>
    <t xml:space="preserve">1 = да</t>
  </si>
  <si>
    <t xml:space="preserve">ОЦЕНКА — ПРОМЕЖУТОЧНЫЙ РЕЗУЛЬТАТ</t>
  </si>
  <si>
    <t xml:space="preserve">Оценка по мультипликаторам</t>
  </si>
  <si>
    <t xml:space="preserve">Отчёт о прибылях по годам · базовый сценарий</t>
  </si>
  <si>
    <t xml:space="preserve">Суммы по листу «Модель». До налогов, без капитальных затрат.</t>
  </si>
  <si>
    <t xml:space="preserve">Труд</t>
  </si>
  <si>
    <t xml:space="preserve">Личность: подписка</t>
  </si>
  <si>
    <t xml:space="preserve">Личность: бренды</t>
  </si>
  <si>
    <t xml:space="preserve">Капитал</t>
  </si>
  <si>
    <t xml:space="preserve">Выручка</t>
  </si>
  <si>
    <t xml:space="preserve">Касса на конец года</t>
  </si>
  <si>
    <t xml:space="preserve">Валовая маржа</t>
  </si>
  <si>
    <t xml:space="preserve">Маржа EBITDA</t>
  </si>
  <si>
    <t xml:space="preserve">Оценка как промежуточный результат</t>
  </si>
  <si>
    <t xml:space="preserve">Оценка = ARR направлений × мультипликаторы с листа «Рычаги» + выручка брендов за 12 месяцев. Мультипликаторы — допущение, их назначит рынок.</t>
  </si>
  <si>
    <t xml:space="preserve">ARR группы</t>
  </si>
  <si>
    <t xml:space="preserve">Оценка</t>
  </si>
  <si>
    <t xml:space="preserve">Для $1 млрд нужно</t>
  </si>
  <si>
    <t xml:space="preserve">Оценка / $1 млрд</t>
  </si>
  <si>
    <t xml:space="preserve">Итоги и сверка со стратегией</t>
  </si>
  <si>
    <t xml:space="preserve">Итоги считаются по листу «Модель». Сверка — с target-state-18m.md и декой v10 на 18-й месяц.</t>
  </si>
  <si>
    <t xml:space="preserve">Показатель</t>
  </si>
  <si>
    <t xml:space="preserve">В стратегии</t>
  </si>
  <si>
    <t xml:space="preserve">В модели</t>
  </si>
  <si>
    <t xml:space="preserve">Сходится</t>
  </si>
  <si>
    <t xml:space="preserve">ИТОГИ</t>
  </si>
  <si>
    <t xml:space="preserve">Выход в устойчивый плюс, месяц</t>
  </si>
  <si>
    <t xml:space="preserve">Дно кассы, $</t>
  </si>
  <si>
    <t xml:space="preserve">Месяц дна кассы</t>
  </si>
  <si>
    <t xml:space="preserve">Касса к 36-му месяцу, $</t>
  </si>
  <si>
    <t xml:space="preserve">Оценка к 36-му месяцу, $</t>
  </si>
  <si>
    <t xml:space="preserve">СВЕРКА НА 18-Й МЕСЯЦ</t>
  </si>
  <si>
    <t xml:space="preserve">Выручка 18-го месяца</t>
  </si>
  <si>
    <t xml:space="preserve">Расход 18-го месяца</t>
  </si>
  <si>
    <t xml:space="preserve">Труд: компаний</t>
  </si>
  <si>
    <t xml:space="preserve">Капитал: компаний</t>
  </si>
  <si>
    <t xml:space="preserve">Личность: подписчиков</t>
  </si>
  <si>
    <t xml:space="preserve">Расходы этапа 1, мес. 1–3</t>
  </si>
  <si>
    <t xml:space="preserve">Расходы этапа 2, мес. 4–6</t>
  </si>
  <si>
    <t xml:space="preserve">Расходы этапа 3, мес. 7–12</t>
  </si>
  <si>
    <t xml:space="preserve">Расходы этапа 4, мес. 13–18</t>
  </si>
  <si>
    <t xml:space="preserve">Допуск — в формуле колонки «Сходится», под порядок величины. Расходы этапов сверяются с допуском 15%.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</si>
</sst>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;&quot;($&quot;#,##0\);\-"/>
    <numFmt numFmtId="167" formatCode="\$0.00"/>
    <numFmt numFmtId="168" formatCode="0.0\x"/>
    <numFmt numFmtId="169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/>
      <c r="C5" s="4"/>
    </row>
    <row r="6" customFormat="false" ht="15" hidden="false" customHeight="false" outlineLevel="0" collapsed="false">
      <c r="A6" s="5" t="s">
        <v>6</v>
      </c>
      <c r="B6" s="6" t="n">
        <v>0.01</v>
      </c>
      <c r="C6" s="2" t="s">
        <v>7</v>
      </c>
    </row>
    <row r="7" customFormat="false" ht="15" hidden="false" customHeight="false" outlineLevel="0" collapsed="false">
      <c r="A7" s="5" t="s">
        <v>8</v>
      </c>
      <c r="B7" s="7" t="n">
        <v>4000</v>
      </c>
      <c r="C7" s="2" t="s">
        <v>9</v>
      </c>
    </row>
    <row r="8" customFormat="false" ht="15" hidden="false" customHeight="false" outlineLevel="0" collapsed="false">
      <c r="A8" s="4" t="s">
        <v>10</v>
      </c>
      <c r="B8" s="4"/>
      <c r="C8" s="4"/>
    </row>
    <row r="9" customFormat="false" ht="15" hidden="false" customHeight="false" outlineLevel="0" collapsed="false">
      <c r="A9" s="5" t="s">
        <v>11</v>
      </c>
      <c r="B9" s="7" t="n">
        <v>10</v>
      </c>
      <c r="C9" s="2" t="s">
        <v>12</v>
      </c>
    </row>
    <row r="10" customFormat="false" ht="15" hidden="false" customHeight="false" outlineLevel="0" collapsed="false">
      <c r="A10" s="5" t="s">
        <v>13</v>
      </c>
      <c r="B10" s="6" t="n">
        <v>0.08</v>
      </c>
      <c r="C10" s="2" t="s">
        <v>12</v>
      </c>
    </row>
    <row r="11" customFormat="false" ht="15" hidden="false" customHeight="false" outlineLevel="0" collapsed="false">
      <c r="A11" s="5" t="s">
        <v>14</v>
      </c>
      <c r="B11" s="6" t="n">
        <v>0.01</v>
      </c>
      <c r="C11" s="2" t="s">
        <v>12</v>
      </c>
    </row>
    <row r="12" customFormat="false" ht="15" hidden="false" customHeight="false" outlineLevel="0" collapsed="false">
      <c r="A12" s="5" t="s">
        <v>15</v>
      </c>
      <c r="B12" s="7" t="n">
        <v>50000</v>
      </c>
      <c r="C12" s="2" t="s">
        <v>12</v>
      </c>
    </row>
    <row r="13" customFormat="false" ht="15" hidden="false" customHeight="false" outlineLevel="0" collapsed="false">
      <c r="A13" s="4" t="s">
        <v>16</v>
      </c>
      <c r="B13" s="4"/>
      <c r="C13" s="4"/>
    </row>
    <row r="14" customFormat="false" ht="15" hidden="false" customHeight="false" outlineLevel="0" collapsed="false">
      <c r="A14" s="5" t="s">
        <v>6</v>
      </c>
      <c r="B14" s="8" t="n">
        <v>0.015</v>
      </c>
      <c r="C14" s="2" t="s">
        <v>17</v>
      </c>
    </row>
    <row r="15" customFormat="false" ht="15" hidden="false" customHeight="false" outlineLevel="0" collapsed="false">
      <c r="A15" s="4" t="s">
        <v>18</v>
      </c>
      <c r="B15" s="4"/>
      <c r="C15" s="4"/>
    </row>
    <row r="16" customFormat="false" ht="15" hidden="false" customHeight="false" outlineLevel="0" collapsed="false">
      <c r="A16" s="5" t="s">
        <v>19</v>
      </c>
      <c r="B16" s="9" t="n">
        <v>150000</v>
      </c>
      <c r="C16" s="2" t="s">
        <v>20</v>
      </c>
    </row>
    <row r="17" customFormat="false" ht="15" hidden="false" customHeight="false" outlineLevel="0" collapsed="false">
      <c r="A17" s="5" t="s">
        <v>21</v>
      </c>
      <c r="B17" s="9" t="n">
        <v>15000</v>
      </c>
      <c r="C17" s="2" t="s">
        <v>22</v>
      </c>
    </row>
    <row r="18" customFormat="false" ht="15" hidden="false" customHeight="false" outlineLevel="0" collapsed="false">
      <c r="A18" s="4" t="s">
        <v>23</v>
      </c>
      <c r="B18" s="4"/>
      <c r="C18" s="4"/>
    </row>
    <row r="19" customFormat="false" ht="15" hidden="false" customHeight="false" outlineLevel="0" collapsed="false">
      <c r="A19" s="5" t="s">
        <v>24</v>
      </c>
      <c r="B19" s="8" t="n">
        <v>0.3</v>
      </c>
      <c r="C19" s="2" t="s">
        <v>25</v>
      </c>
    </row>
    <row r="20" customFormat="false" ht="15" hidden="false" customHeight="false" outlineLevel="0" collapsed="false">
      <c r="A20" s="5" t="s">
        <v>26</v>
      </c>
      <c r="B20" s="8" t="n">
        <v>0.25</v>
      </c>
      <c r="C20" s="2" t="s">
        <v>25</v>
      </c>
    </row>
    <row r="21" customFormat="false" ht="15" hidden="false" customHeight="false" outlineLevel="0" collapsed="false">
      <c r="A21" s="5" t="s">
        <v>27</v>
      </c>
      <c r="B21" s="8" t="n">
        <v>0.4</v>
      </c>
      <c r="C21" s="2" t="s">
        <v>25</v>
      </c>
    </row>
    <row r="22" customFormat="false" ht="15" hidden="false" customHeight="false" outlineLevel="0" collapsed="false">
      <c r="A22" s="5" t="s">
        <v>28</v>
      </c>
      <c r="B22" s="8" t="n">
        <v>0.15</v>
      </c>
      <c r="C22" s="2" t="s">
        <v>25</v>
      </c>
    </row>
    <row r="23" customFormat="false" ht="15" hidden="false" customHeight="false" outlineLevel="0" collapsed="false">
      <c r="A23" s="4" t="s">
        <v>29</v>
      </c>
      <c r="B23" s="4"/>
      <c r="C23" s="4"/>
    </row>
    <row r="24" customFormat="false" ht="15" hidden="false" customHeight="false" outlineLevel="0" collapsed="false">
      <c r="A24" s="5" t="s">
        <v>30</v>
      </c>
      <c r="B24" s="8" t="n">
        <v>0.1</v>
      </c>
      <c r="C24" s="2" t="s">
        <v>25</v>
      </c>
    </row>
    <row r="25" customFormat="false" ht="15" hidden="false" customHeight="false" outlineLevel="0" collapsed="false">
      <c r="A25" s="5" t="s">
        <v>31</v>
      </c>
      <c r="B25" s="9" t="n">
        <v>5000</v>
      </c>
      <c r="C25" s="2" t="s">
        <v>25</v>
      </c>
    </row>
    <row r="26" customFormat="false" ht="15" hidden="false" customHeight="false" outlineLevel="0" collapsed="false">
      <c r="A26" s="5" t="s">
        <v>32</v>
      </c>
      <c r="B26" s="9" t="n">
        <v>300</v>
      </c>
      <c r="C26" s="2" t="s">
        <v>25</v>
      </c>
    </row>
    <row r="27" customFormat="false" ht="15" hidden="false" customHeight="false" outlineLevel="0" collapsed="false">
      <c r="A27" s="5" t="s">
        <v>33</v>
      </c>
      <c r="B27" s="10" t="n">
        <v>0.2</v>
      </c>
      <c r="C27" s="2" t="s">
        <v>34</v>
      </c>
    </row>
    <row r="28" customFormat="false" ht="15" hidden="false" customHeight="false" outlineLevel="0" collapsed="false">
      <c r="A28" s="4" t="s">
        <v>35</v>
      </c>
      <c r="B28" s="4"/>
      <c r="C28" s="4"/>
    </row>
    <row r="29" customFormat="false" ht="15" hidden="false" customHeight="false" outlineLevel="0" collapsed="false">
      <c r="A29" s="5" t="s">
        <v>36</v>
      </c>
      <c r="B29" s="9" t="n">
        <v>120000</v>
      </c>
      <c r="C29" s="2" t="s">
        <v>25</v>
      </c>
    </row>
    <row r="30" customFormat="false" ht="15" hidden="false" customHeight="false" outlineLevel="0" collapsed="false">
      <c r="A30" s="5" t="s">
        <v>37</v>
      </c>
      <c r="B30" s="9" t="n">
        <v>80000</v>
      </c>
      <c r="C30" s="2" t="s">
        <v>25</v>
      </c>
    </row>
    <row r="31" customFormat="false" ht="15" hidden="false" customHeight="false" outlineLevel="0" collapsed="false">
      <c r="A31" s="5" t="s">
        <v>38</v>
      </c>
      <c r="B31" s="9" t="n">
        <v>60000</v>
      </c>
      <c r="C31" s="2" t="s">
        <v>25</v>
      </c>
    </row>
    <row r="32" customFormat="false" ht="15" hidden="false" customHeight="false" outlineLevel="0" collapsed="false">
      <c r="A32" s="5" t="s">
        <v>39</v>
      </c>
      <c r="B32" s="8" t="n">
        <v>0.15</v>
      </c>
      <c r="C32" s="2" t="s">
        <v>25</v>
      </c>
    </row>
    <row r="33" customFormat="false" ht="15" hidden="false" customHeight="false" outlineLevel="0" collapsed="false">
      <c r="A33" s="4" t="s">
        <v>40</v>
      </c>
      <c r="B33" s="4"/>
      <c r="C33" s="4"/>
    </row>
    <row r="34" customFormat="false" ht="15" hidden="false" customHeight="false" outlineLevel="0" collapsed="false">
      <c r="A34" s="5" t="s">
        <v>41</v>
      </c>
      <c r="B34" s="7" t="n">
        <v>50000000</v>
      </c>
      <c r="C34" s="2" t="s">
        <v>42</v>
      </c>
    </row>
    <row r="35" customFormat="false" ht="15" hidden="false" customHeight="false" outlineLevel="0" collapsed="false">
      <c r="A35" s="4" t="s">
        <v>43</v>
      </c>
      <c r="B35" s="4"/>
      <c r="C35" s="4"/>
    </row>
    <row r="36" customFormat="false" ht="15" hidden="false" customHeight="false" outlineLevel="0" collapsed="false">
      <c r="A36" s="5" t="s">
        <v>44</v>
      </c>
      <c r="B36" s="11" t="n">
        <v>10</v>
      </c>
      <c r="C36" s="2" t="s">
        <v>45</v>
      </c>
    </row>
    <row r="37" customFormat="false" ht="15" hidden="false" customHeight="false" outlineLevel="0" collapsed="false">
      <c r="A37" s="5" t="s">
        <v>46</v>
      </c>
      <c r="B37" s="11" t="n">
        <v>10</v>
      </c>
      <c r="C37" s="2" t="s">
        <v>25</v>
      </c>
    </row>
    <row r="38" customFormat="false" ht="15" hidden="false" customHeight="false" outlineLevel="0" collapsed="false">
      <c r="A38" s="5" t="s">
        <v>47</v>
      </c>
      <c r="B38" s="11" t="n">
        <v>4</v>
      </c>
      <c r="C38" s="2" t="s">
        <v>25</v>
      </c>
    </row>
    <row r="39" customFormat="false" ht="15" hidden="false" customHeight="false" outlineLevel="0" collapsed="false">
      <c r="A39" s="5" t="s">
        <v>48</v>
      </c>
      <c r="B39" s="11" t="n">
        <v>1.5</v>
      </c>
      <c r="C39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8" min="3" style="0" width="11"/>
  </cols>
  <sheetData>
    <row r="1" customFormat="false" ht="16.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3" customFormat="false" ht="15" hidden="false" customHeight="false" outlineLevel="0" collapsed="false">
      <c r="C3" s="12" t="s">
        <v>51</v>
      </c>
      <c r="O3" s="12" t="s">
        <v>52</v>
      </c>
      <c r="AA3" s="12" t="s">
        <v>53</v>
      </c>
    </row>
    <row r="4" customFormat="false" ht="15" hidden="false" customHeight="false" outlineLevel="0" collapsed="false">
      <c r="A4" s="3" t="s">
        <v>54</v>
      </c>
      <c r="B4" s="3" t="s">
        <v>55</v>
      </c>
      <c r="C4" s="13" t="n">
        <v>1</v>
      </c>
      <c r="D4" s="13" t="n">
        <v>2</v>
      </c>
      <c r="E4" s="13" t="n">
        <v>3</v>
      </c>
      <c r="F4" s="13" t="n">
        <v>4</v>
      </c>
      <c r="G4" s="13" t="n">
        <v>5</v>
      </c>
      <c r="H4" s="13" t="n">
        <v>6</v>
      </c>
      <c r="I4" s="13" t="n">
        <v>7</v>
      </c>
      <c r="J4" s="13" t="n">
        <v>8</v>
      </c>
      <c r="K4" s="13" t="n">
        <v>9</v>
      </c>
      <c r="L4" s="13" t="n">
        <v>10</v>
      </c>
      <c r="M4" s="13" t="n">
        <v>11</v>
      </c>
      <c r="N4" s="13" t="n">
        <v>12</v>
      </c>
      <c r="O4" s="13" t="n">
        <v>13</v>
      </c>
      <c r="P4" s="13" t="n">
        <v>14</v>
      </c>
      <c r="Q4" s="13" t="n">
        <v>15</v>
      </c>
      <c r="R4" s="13" t="n">
        <v>16</v>
      </c>
      <c r="S4" s="13" t="n">
        <v>17</v>
      </c>
      <c r="T4" s="13" t="n">
        <v>18</v>
      </c>
      <c r="U4" s="13" t="n">
        <v>19</v>
      </c>
      <c r="V4" s="13" t="n">
        <v>20</v>
      </c>
      <c r="W4" s="13" t="n">
        <v>21</v>
      </c>
      <c r="X4" s="13" t="n">
        <v>22</v>
      </c>
      <c r="Y4" s="13" t="n">
        <v>23</v>
      </c>
      <c r="Z4" s="13" t="n">
        <v>24</v>
      </c>
      <c r="AA4" s="13" t="n">
        <v>25</v>
      </c>
      <c r="AB4" s="13" t="n">
        <v>26</v>
      </c>
      <c r="AC4" s="13" t="n">
        <v>27</v>
      </c>
      <c r="AD4" s="13" t="n">
        <v>28</v>
      </c>
      <c r="AE4" s="13" t="n">
        <v>29</v>
      </c>
      <c r="AF4" s="13" t="n">
        <v>30</v>
      </c>
      <c r="AG4" s="13" t="n">
        <v>31</v>
      </c>
      <c r="AH4" s="13" t="n">
        <v>32</v>
      </c>
      <c r="AI4" s="13" t="n">
        <v>33</v>
      </c>
      <c r="AJ4" s="13" t="n">
        <v>34</v>
      </c>
      <c r="AK4" s="13" t="n">
        <v>35</v>
      </c>
      <c r="AL4" s="13" t="n">
        <v>36</v>
      </c>
    </row>
    <row r="5" customFormat="false" ht="15" hidden="false" customHeight="false" outlineLevel="0" collapsed="false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customFormat="false" ht="15" hidden="false" customHeight="false" outlineLevel="0" collapsed="false">
      <c r="A6" s="5" t="s">
        <v>56</v>
      </c>
      <c r="B6" s="2" t="s">
        <v>57</v>
      </c>
      <c r="C6" s="14" t="n">
        <v>0</v>
      </c>
      <c r="D6" s="14" t="n">
        <v>0</v>
      </c>
      <c r="E6" s="14" t="n">
        <v>0</v>
      </c>
      <c r="F6" s="14" t="n">
        <v>2</v>
      </c>
      <c r="G6" s="14" t="n">
        <v>3</v>
      </c>
      <c r="H6" s="14" t="n">
        <v>5</v>
      </c>
      <c r="I6" s="14" t="n">
        <v>5</v>
      </c>
      <c r="J6" s="14" t="n">
        <v>6</v>
      </c>
      <c r="K6" s="14" t="n">
        <v>7</v>
      </c>
      <c r="L6" s="14" t="n">
        <v>9</v>
      </c>
      <c r="M6" s="14" t="n">
        <v>11</v>
      </c>
      <c r="N6" s="14" t="n">
        <v>12</v>
      </c>
      <c r="O6" s="14" t="n">
        <v>14</v>
      </c>
      <c r="P6" s="14" t="n">
        <v>15</v>
      </c>
      <c r="Q6" s="14" t="n">
        <v>17</v>
      </c>
      <c r="R6" s="14" t="n">
        <v>18</v>
      </c>
      <c r="S6" s="14" t="n">
        <v>20</v>
      </c>
      <c r="T6" s="14" t="n">
        <v>21</v>
      </c>
      <c r="U6" s="14" t="n">
        <v>21</v>
      </c>
      <c r="V6" s="14" t="n">
        <v>21</v>
      </c>
      <c r="W6" s="14" t="n">
        <v>21</v>
      </c>
      <c r="X6" s="14" t="n">
        <v>21</v>
      </c>
      <c r="Y6" s="14" t="n">
        <v>21</v>
      </c>
      <c r="Z6" s="14" t="n">
        <v>21</v>
      </c>
      <c r="AA6" s="14" t="n">
        <v>21</v>
      </c>
      <c r="AB6" s="14" t="n">
        <v>21</v>
      </c>
      <c r="AC6" s="14" t="n">
        <v>21</v>
      </c>
      <c r="AD6" s="14" t="n">
        <v>21</v>
      </c>
      <c r="AE6" s="14" t="n">
        <v>21</v>
      </c>
      <c r="AF6" s="14" t="n">
        <v>21</v>
      </c>
      <c r="AG6" s="14" t="n">
        <v>21</v>
      </c>
      <c r="AH6" s="14" t="n">
        <v>21</v>
      </c>
      <c r="AI6" s="14" t="n">
        <v>21</v>
      </c>
      <c r="AJ6" s="14" t="n">
        <v>21</v>
      </c>
      <c r="AK6" s="14" t="n">
        <v>21</v>
      </c>
      <c r="AL6" s="14" t="n">
        <v>21</v>
      </c>
    </row>
    <row r="7" customFormat="false" ht="15" hidden="false" customHeight="false" outlineLevel="0" collapsed="false">
      <c r="A7" s="5" t="s">
        <v>58</v>
      </c>
      <c r="B7" s="2" t="s">
        <v>57</v>
      </c>
      <c r="C7" s="15" t="n">
        <f aca="false">C6</f>
        <v>0</v>
      </c>
      <c r="D7" s="15" t="n">
        <f aca="false">C7-ROUND(C7*Рычаги!$B$6,0)+D6</f>
        <v>0</v>
      </c>
      <c r="E7" s="15" t="n">
        <f aca="false">D7-ROUND(D7*Рычаги!$B$6,0)+E6</f>
        <v>0</v>
      </c>
      <c r="F7" s="15" t="n">
        <f aca="false">E7-ROUND(E7*Рычаги!$B$6,0)+F6</f>
        <v>2</v>
      </c>
      <c r="G7" s="15" t="n">
        <f aca="false">F7-ROUND(F7*Рычаги!$B$6,0)+G6</f>
        <v>5</v>
      </c>
      <c r="H7" s="15" t="n">
        <f aca="false">G7-ROUND(G7*Рычаги!$B$6,0)+H6</f>
        <v>10</v>
      </c>
      <c r="I7" s="15" t="n">
        <f aca="false">H7-ROUND(H7*Рычаги!$B$6,0)+I6</f>
        <v>15</v>
      </c>
      <c r="J7" s="15" t="n">
        <f aca="false">I7-ROUND(I7*Рычаги!$B$6,0)+J6</f>
        <v>21</v>
      </c>
      <c r="K7" s="15" t="n">
        <f aca="false">J7-ROUND(J7*Рычаги!$B$6,0)+K6</f>
        <v>28</v>
      </c>
      <c r="L7" s="15" t="n">
        <f aca="false">K7-ROUND(K7*Рычаги!$B$6,0)+L6</f>
        <v>37</v>
      </c>
      <c r="M7" s="15" t="n">
        <f aca="false">L7-ROUND(L7*Рычаги!$B$6,0)+M6</f>
        <v>48</v>
      </c>
      <c r="N7" s="15" t="n">
        <f aca="false">M7-ROUND(M7*Рычаги!$B$6,0)+N6</f>
        <v>60</v>
      </c>
      <c r="O7" s="15" t="n">
        <f aca="false">N7-ROUND(N7*Рычаги!$B$6,0)+O6</f>
        <v>73</v>
      </c>
      <c r="P7" s="15" t="n">
        <f aca="false">O7-ROUND(O7*Рычаги!$B$6,0)+P6</f>
        <v>87</v>
      </c>
      <c r="Q7" s="15" t="n">
        <f aca="false">P7-ROUND(P7*Рычаги!$B$6,0)+Q6</f>
        <v>103</v>
      </c>
      <c r="R7" s="15" t="n">
        <f aca="false">Q7-ROUND(Q7*Рычаги!$B$6,0)+R6</f>
        <v>120</v>
      </c>
      <c r="S7" s="15" t="n">
        <f aca="false">R7-ROUND(R7*Рычаги!$B$6,0)+S6</f>
        <v>139</v>
      </c>
      <c r="T7" s="15" t="n">
        <f aca="false">S7-ROUND(S7*Рычаги!$B$6,0)+T6</f>
        <v>159</v>
      </c>
      <c r="U7" s="15" t="n">
        <f aca="false">T7-ROUND(T7*Рычаги!$B$6,0)+U6</f>
        <v>178</v>
      </c>
      <c r="V7" s="15" t="n">
        <f aca="false">U7-ROUND(U7*Рычаги!$B$6,0)+V6</f>
        <v>197</v>
      </c>
      <c r="W7" s="15" t="n">
        <f aca="false">V7-ROUND(V7*Рычаги!$B$6,0)+W6</f>
        <v>216</v>
      </c>
      <c r="X7" s="15" t="n">
        <f aca="false">W7-ROUND(W7*Рычаги!$B$6,0)+X6</f>
        <v>235</v>
      </c>
      <c r="Y7" s="15" t="n">
        <f aca="false">X7-ROUND(X7*Рычаги!$B$6,0)+Y6</f>
        <v>254</v>
      </c>
      <c r="Z7" s="15" t="n">
        <f aca="false">Y7-ROUND(Y7*Рычаги!$B$6,0)+Z6</f>
        <v>272</v>
      </c>
      <c r="AA7" s="15" t="n">
        <f aca="false">Z7-ROUND(Z7*Рычаги!$B$6,0)+AA6</f>
        <v>290</v>
      </c>
      <c r="AB7" s="15" t="n">
        <f aca="false">AA7-ROUND(AA7*Рычаги!$B$6,0)+AB6</f>
        <v>308</v>
      </c>
      <c r="AC7" s="15" t="n">
        <f aca="false">AB7-ROUND(AB7*Рычаги!$B$6,0)+AC6</f>
        <v>326</v>
      </c>
      <c r="AD7" s="15" t="n">
        <f aca="false">AC7-ROUND(AC7*Рычаги!$B$6,0)+AD6</f>
        <v>344</v>
      </c>
      <c r="AE7" s="15" t="n">
        <f aca="false">AD7-ROUND(AD7*Рычаги!$B$6,0)+AE6</f>
        <v>362</v>
      </c>
      <c r="AF7" s="15" t="n">
        <f aca="false">AE7-ROUND(AE7*Рычаги!$B$6,0)+AF6</f>
        <v>379</v>
      </c>
      <c r="AG7" s="15" t="n">
        <f aca="false">AF7-ROUND(AF7*Рычаги!$B$6,0)+AG6</f>
        <v>396</v>
      </c>
      <c r="AH7" s="15" t="n">
        <f aca="false">AG7-ROUND(AG7*Рычаги!$B$6,0)+AH6</f>
        <v>413</v>
      </c>
      <c r="AI7" s="15" t="n">
        <f aca="false">AH7-ROUND(AH7*Рычаги!$B$6,0)+AI6</f>
        <v>430</v>
      </c>
      <c r="AJ7" s="15" t="n">
        <f aca="false">AI7-ROUND(AI7*Рычаги!$B$6,0)+AJ6</f>
        <v>447</v>
      </c>
      <c r="AK7" s="15" t="n">
        <f aca="false">AJ7-ROUND(AJ7*Рычаги!$B$6,0)+AK6</f>
        <v>464</v>
      </c>
      <c r="AL7" s="15" t="n">
        <f aca="false">AK7-ROUND(AK7*Рычаги!$B$6,0)+AL6</f>
        <v>480</v>
      </c>
    </row>
    <row r="8" customFormat="false" ht="15" hidden="false" customHeight="false" outlineLevel="0" collapsed="false">
      <c r="A8" s="5" t="s">
        <v>59</v>
      </c>
      <c r="B8" s="2" t="s">
        <v>60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5000</v>
      </c>
      <c r="I8" s="16" t="n">
        <v>5833.33</v>
      </c>
      <c r="J8" s="16" t="n">
        <v>6666.67</v>
      </c>
      <c r="K8" s="16" t="n">
        <v>7500</v>
      </c>
      <c r="L8" s="16" t="n">
        <v>8333.33</v>
      </c>
      <c r="M8" s="16" t="n">
        <v>9166.67</v>
      </c>
      <c r="N8" s="16" t="n">
        <v>10000</v>
      </c>
      <c r="O8" s="16" t="n">
        <v>10833.33</v>
      </c>
      <c r="P8" s="16" t="n">
        <v>11666.67</v>
      </c>
      <c r="Q8" s="16" t="n">
        <v>12500</v>
      </c>
      <c r="R8" s="16" t="n">
        <v>13333.33</v>
      </c>
      <c r="S8" s="16" t="n">
        <v>14166.67</v>
      </c>
      <c r="T8" s="16" t="n">
        <v>15000</v>
      </c>
      <c r="U8" s="16" t="n">
        <v>15000</v>
      </c>
      <c r="V8" s="16" t="n">
        <v>15000</v>
      </c>
      <c r="W8" s="16" t="n">
        <v>15000</v>
      </c>
      <c r="X8" s="16" t="n">
        <v>15000</v>
      </c>
      <c r="Y8" s="16" t="n">
        <v>15000</v>
      </c>
      <c r="Z8" s="16" t="n">
        <v>15000</v>
      </c>
      <c r="AA8" s="16" t="n">
        <v>15000</v>
      </c>
      <c r="AB8" s="16" t="n">
        <v>15000</v>
      </c>
      <c r="AC8" s="16" t="n">
        <v>15000</v>
      </c>
      <c r="AD8" s="16" t="n">
        <v>15000</v>
      </c>
      <c r="AE8" s="16" t="n">
        <v>15000</v>
      </c>
      <c r="AF8" s="16" t="n">
        <v>15000</v>
      </c>
      <c r="AG8" s="16" t="n">
        <v>15000</v>
      </c>
      <c r="AH8" s="16" t="n">
        <v>15000</v>
      </c>
      <c r="AI8" s="16" t="n">
        <v>15000</v>
      </c>
      <c r="AJ8" s="16" t="n">
        <v>15000</v>
      </c>
      <c r="AK8" s="16" t="n">
        <v>15000</v>
      </c>
      <c r="AL8" s="16" t="n">
        <v>15000</v>
      </c>
    </row>
    <row r="9" customFormat="false" ht="15" hidden="false" customHeight="false" outlineLevel="0" collapsed="false">
      <c r="A9" s="5" t="s">
        <v>61</v>
      </c>
      <c r="B9" s="2" t="s">
        <v>57</v>
      </c>
      <c r="C9" s="14" t="n">
        <v>0</v>
      </c>
      <c r="D9" s="14" t="n">
        <v>1</v>
      </c>
      <c r="E9" s="14" t="n">
        <v>2</v>
      </c>
      <c r="F9" s="14" t="n">
        <v>2</v>
      </c>
      <c r="G9" s="14" t="n">
        <v>2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</row>
    <row r="10" customFormat="false" ht="15" hidden="false" customHeight="false" outlineLevel="0" collapsed="false">
      <c r="A10" s="17" t="s">
        <v>62</v>
      </c>
      <c r="B10" s="2" t="s">
        <v>60</v>
      </c>
      <c r="C10" s="18" t="n">
        <f aca="false">C7*C8+C9*Рычаги!$B$7</f>
        <v>0</v>
      </c>
      <c r="D10" s="18" t="n">
        <f aca="false">D7*D8+D9*Рычаги!$B$7</f>
        <v>4000</v>
      </c>
      <c r="E10" s="18" t="n">
        <f aca="false">E7*E8+E9*Рычаги!$B$7</f>
        <v>8000</v>
      </c>
      <c r="F10" s="18" t="n">
        <f aca="false">F7*F8+F9*Рычаги!$B$7</f>
        <v>8000</v>
      </c>
      <c r="G10" s="18" t="n">
        <f aca="false">G7*G8+G9*Рычаги!$B$7</f>
        <v>8000</v>
      </c>
      <c r="H10" s="18" t="n">
        <f aca="false">H7*H8+H9*Рычаги!$B$7</f>
        <v>50000</v>
      </c>
      <c r="I10" s="18" t="n">
        <f aca="false">I7*I8+I9*Рычаги!$B$7</f>
        <v>87499.95</v>
      </c>
      <c r="J10" s="18" t="n">
        <f aca="false">J7*J8+J9*Рычаги!$B$7</f>
        <v>140000.07</v>
      </c>
      <c r="K10" s="18" t="n">
        <f aca="false">K7*K8+K9*Рычаги!$B$7</f>
        <v>210000</v>
      </c>
      <c r="L10" s="18" t="n">
        <f aca="false">L7*L8+L9*Рычаги!$B$7</f>
        <v>308333.21</v>
      </c>
      <c r="M10" s="18" t="n">
        <f aca="false">M7*M8+M9*Рычаги!$B$7</f>
        <v>440000.16</v>
      </c>
      <c r="N10" s="18" t="n">
        <f aca="false">N7*N8+N9*Рычаги!$B$7</f>
        <v>600000</v>
      </c>
      <c r="O10" s="18" t="n">
        <f aca="false">O7*O8+O9*Рычаги!$B$7</f>
        <v>790833.09</v>
      </c>
      <c r="P10" s="18" t="n">
        <f aca="false">P7*P8+P9*Рычаги!$B$7</f>
        <v>1015000.29</v>
      </c>
      <c r="Q10" s="18" t="n">
        <f aca="false">Q7*Q8+Q9*Рычаги!$B$7</f>
        <v>1287500</v>
      </c>
      <c r="R10" s="18" t="n">
        <f aca="false">R7*R8+R9*Рычаги!$B$7</f>
        <v>1599999.6</v>
      </c>
      <c r="S10" s="18" t="n">
        <f aca="false">S7*S8+S9*Рычаги!$B$7</f>
        <v>1969167.13</v>
      </c>
      <c r="T10" s="18" t="n">
        <f aca="false">T7*T8+T9*Рычаги!$B$7</f>
        <v>2385000</v>
      </c>
      <c r="U10" s="18" t="n">
        <f aca="false">U7*U8+U9*Рычаги!$B$7</f>
        <v>2670000</v>
      </c>
      <c r="V10" s="18" t="n">
        <f aca="false">V7*V8+V9*Рычаги!$B$7</f>
        <v>2955000</v>
      </c>
      <c r="W10" s="18" t="n">
        <f aca="false">W7*W8+W9*Рычаги!$B$7</f>
        <v>3240000</v>
      </c>
      <c r="X10" s="18" t="n">
        <f aca="false">X7*X8+X9*Рычаги!$B$7</f>
        <v>3525000</v>
      </c>
      <c r="Y10" s="18" t="n">
        <f aca="false">Y7*Y8+Y9*Рычаги!$B$7</f>
        <v>3810000</v>
      </c>
      <c r="Z10" s="18" t="n">
        <f aca="false">Z7*Z8+Z9*Рычаги!$B$7</f>
        <v>4080000</v>
      </c>
      <c r="AA10" s="18" t="n">
        <f aca="false">AA7*AA8+AA9*Рычаги!$B$7</f>
        <v>4350000</v>
      </c>
      <c r="AB10" s="18" t="n">
        <f aca="false">AB7*AB8+AB9*Рычаги!$B$7</f>
        <v>4620000</v>
      </c>
      <c r="AC10" s="18" t="n">
        <f aca="false">AC7*AC8+AC9*Рычаги!$B$7</f>
        <v>4890000</v>
      </c>
      <c r="AD10" s="18" t="n">
        <f aca="false">AD7*AD8+AD9*Рычаги!$B$7</f>
        <v>5160000</v>
      </c>
      <c r="AE10" s="18" t="n">
        <f aca="false">AE7*AE8+AE9*Рычаги!$B$7</f>
        <v>5430000</v>
      </c>
      <c r="AF10" s="18" t="n">
        <f aca="false">AF7*AF8+AF9*Рычаги!$B$7</f>
        <v>5685000</v>
      </c>
      <c r="AG10" s="18" t="n">
        <f aca="false">AG7*AG8+AG9*Рычаги!$B$7</f>
        <v>5940000</v>
      </c>
      <c r="AH10" s="18" t="n">
        <f aca="false">AH7*AH8+AH9*Рычаги!$B$7</f>
        <v>6195000</v>
      </c>
      <c r="AI10" s="18" t="n">
        <f aca="false">AI7*AI8+AI9*Рычаги!$B$7</f>
        <v>6450000</v>
      </c>
      <c r="AJ10" s="18" t="n">
        <f aca="false">AJ7*AJ8+AJ9*Рычаги!$B$7</f>
        <v>6705000</v>
      </c>
      <c r="AK10" s="18" t="n">
        <f aca="false">AK7*AK8+AK9*Рычаги!$B$7</f>
        <v>6960000</v>
      </c>
      <c r="AL10" s="18" t="n">
        <f aca="false">AL7*AL8+AL9*Рычаги!$B$7</f>
        <v>7200000</v>
      </c>
    </row>
    <row r="11" customFormat="false" ht="15" hidden="false" customHeight="false" outlineLevel="0" collapsed="false">
      <c r="A11" s="4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customFormat="false" ht="15" hidden="false" customHeight="false" outlineLevel="0" collapsed="false">
      <c r="A12" s="5" t="s">
        <v>63</v>
      </c>
      <c r="B12" s="2" t="s">
        <v>64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108325</v>
      </c>
      <c r="L12" s="14" t="n">
        <v>216650</v>
      </c>
      <c r="M12" s="14" t="n">
        <v>324975</v>
      </c>
      <c r="N12" s="14" t="n">
        <v>433300</v>
      </c>
      <c r="O12" s="14" t="n">
        <v>525183</v>
      </c>
      <c r="P12" s="14" t="n">
        <v>617067</v>
      </c>
      <c r="Q12" s="14" t="n">
        <v>708950</v>
      </c>
      <c r="R12" s="14" t="n">
        <v>1005967</v>
      </c>
      <c r="S12" s="14" t="n">
        <v>1302983</v>
      </c>
      <c r="T12" s="14" t="n">
        <v>1600000</v>
      </c>
      <c r="U12" s="14" t="n">
        <v>1600000</v>
      </c>
      <c r="V12" s="14" t="n">
        <v>1600000</v>
      </c>
      <c r="W12" s="14" t="n">
        <v>1600000</v>
      </c>
      <c r="X12" s="14" t="n">
        <v>1600000</v>
      </c>
      <c r="Y12" s="14" t="n">
        <v>1600000</v>
      </c>
      <c r="Z12" s="14" t="n">
        <v>1600000</v>
      </c>
      <c r="AA12" s="14" t="n">
        <v>1600000</v>
      </c>
      <c r="AB12" s="14" t="n">
        <v>1600000</v>
      </c>
      <c r="AC12" s="14" t="n">
        <v>1600000</v>
      </c>
      <c r="AD12" s="14" t="n">
        <v>1600000</v>
      </c>
      <c r="AE12" s="14" t="n">
        <v>1600000</v>
      </c>
      <c r="AF12" s="14" t="n">
        <v>1600000</v>
      </c>
      <c r="AG12" s="14" t="n">
        <v>1600000</v>
      </c>
      <c r="AH12" s="14" t="n">
        <v>1600000</v>
      </c>
      <c r="AI12" s="14" t="n">
        <v>1600000</v>
      </c>
      <c r="AJ12" s="14" t="n">
        <v>1600000</v>
      </c>
      <c r="AK12" s="14" t="n">
        <v>1600000</v>
      </c>
      <c r="AL12" s="14" t="n">
        <v>1600000</v>
      </c>
    </row>
    <row r="13" customFormat="false" ht="15" hidden="false" customHeight="false" outlineLevel="0" collapsed="false">
      <c r="A13" s="5" t="s">
        <v>65</v>
      </c>
      <c r="B13" s="2" t="s">
        <v>66</v>
      </c>
      <c r="C13" s="15" t="n">
        <f aca="false">ROUND(C12*Рычаги!$B$11,0)</f>
        <v>0</v>
      </c>
      <c r="D13" s="15" t="n">
        <f aca="false">ROUND(D12*Рычаги!$B$11,0)</f>
        <v>0</v>
      </c>
      <c r="E13" s="15" t="n">
        <f aca="false">ROUND(E12*Рычаги!$B$11,0)</f>
        <v>0</v>
      </c>
      <c r="F13" s="15" t="n">
        <f aca="false">ROUND(F12*Рычаги!$B$11,0)</f>
        <v>0</v>
      </c>
      <c r="G13" s="15" t="n">
        <f aca="false">ROUND(G12*Рычаги!$B$11,0)</f>
        <v>0</v>
      </c>
      <c r="H13" s="15" t="n">
        <f aca="false">ROUND(H12*Рычаги!$B$11,0)</f>
        <v>0</v>
      </c>
      <c r="I13" s="15" t="n">
        <f aca="false">ROUND(I12*Рычаги!$B$11,0)</f>
        <v>0</v>
      </c>
      <c r="J13" s="15" t="n">
        <f aca="false">ROUND(J12*Рычаги!$B$11,0)</f>
        <v>0</v>
      </c>
      <c r="K13" s="15" t="n">
        <f aca="false">ROUND(K12*Рычаги!$B$11,0)</f>
        <v>1083</v>
      </c>
      <c r="L13" s="15" t="n">
        <f aca="false">ROUND(L12*Рычаги!$B$11,0)</f>
        <v>2167</v>
      </c>
      <c r="M13" s="15" t="n">
        <f aca="false">ROUND(M12*Рычаги!$B$11,0)</f>
        <v>3250</v>
      </c>
      <c r="N13" s="15" t="n">
        <f aca="false">ROUND(N12*Рычаги!$B$11,0)</f>
        <v>4333</v>
      </c>
      <c r="O13" s="15" t="n">
        <f aca="false">ROUND(O12*Рычаги!$B$11,0)</f>
        <v>5252</v>
      </c>
      <c r="P13" s="15" t="n">
        <f aca="false">ROUND(P12*Рычаги!$B$11,0)</f>
        <v>6171</v>
      </c>
      <c r="Q13" s="15" t="n">
        <f aca="false">ROUND(Q12*Рычаги!$B$11,0)</f>
        <v>7090</v>
      </c>
      <c r="R13" s="15" t="n">
        <f aca="false">ROUND(R12*Рычаги!$B$11,0)</f>
        <v>10060</v>
      </c>
      <c r="S13" s="15" t="n">
        <f aca="false">ROUND(S12*Рычаги!$B$11,0)</f>
        <v>13030</v>
      </c>
      <c r="T13" s="15" t="n">
        <f aca="false">ROUND(T12*Рычаги!$B$11,0)</f>
        <v>16000</v>
      </c>
      <c r="U13" s="15" t="n">
        <f aca="false">ROUND(U12*Рычаги!$B$11,0)</f>
        <v>16000</v>
      </c>
      <c r="V13" s="15" t="n">
        <f aca="false">ROUND(V12*Рычаги!$B$11,0)</f>
        <v>16000</v>
      </c>
      <c r="W13" s="15" t="n">
        <f aca="false">ROUND(W12*Рычаги!$B$11,0)</f>
        <v>16000</v>
      </c>
      <c r="X13" s="15" t="n">
        <f aca="false">ROUND(X12*Рычаги!$B$11,0)</f>
        <v>16000</v>
      </c>
      <c r="Y13" s="15" t="n">
        <f aca="false">ROUND(Y12*Рычаги!$B$11,0)</f>
        <v>16000</v>
      </c>
      <c r="Z13" s="15" t="n">
        <f aca="false">ROUND(Z12*Рычаги!$B$11,0)</f>
        <v>16000</v>
      </c>
      <c r="AA13" s="15" t="n">
        <f aca="false">ROUND(AA12*Рычаги!$B$11,0)</f>
        <v>16000</v>
      </c>
      <c r="AB13" s="15" t="n">
        <f aca="false">ROUND(AB12*Рычаги!$B$11,0)</f>
        <v>16000</v>
      </c>
      <c r="AC13" s="15" t="n">
        <f aca="false">ROUND(AC12*Рычаги!$B$11,0)</f>
        <v>16000</v>
      </c>
      <c r="AD13" s="15" t="n">
        <f aca="false">ROUND(AD12*Рычаги!$B$11,0)</f>
        <v>16000</v>
      </c>
      <c r="AE13" s="15" t="n">
        <f aca="false">ROUND(AE12*Рычаги!$B$11,0)</f>
        <v>16000</v>
      </c>
      <c r="AF13" s="15" t="n">
        <f aca="false">ROUND(AF12*Рычаги!$B$11,0)</f>
        <v>16000</v>
      </c>
      <c r="AG13" s="15" t="n">
        <f aca="false">ROUND(AG12*Рычаги!$B$11,0)</f>
        <v>16000</v>
      </c>
      <c r="AH13" s="15" t="n">
        <f aca="false">ROUND(AH12*Рычаги!$B$11,0)</f>
        <v>16000</v>
      </c>
      <c r="AI13" s="15" t="n">
        <f aca="false">ROUND(AI12*Рычаги!$B$11,0)</f>
        <v>16000</v>
      </c>
      <c r="AJ13" s="15" t="n">
        <f aca="false">ROUND(AJ12*Рычаги!$B$11,0)</f>
        <v>16000</v>
      </c>
      <c r="AK13" s="15" t="n">
        <f aca="false">ROUND(AK12*Рычаги!$B$11,0)</f>
        <v>16000</v>
      </c>
      <c r="AL13" s="15" t="n">
        <f aca="false">ROUND(AL12*Рычаги!$B$11,0)</f>
        <v>16000</v>
      </c>
    </row>
    <row r="14" customFormat="false" ht="15" hidden="false" customHeight="false" outlineLevel="0" collapsed="false">
      <c r="A14" s="5" t="s">
        <v>67</v>
      </c>
      <c r="B14" s="2" t="s">
        <v>66</v>
      </c>
      <c r="C14" s="15" t="n">
        <f aca="false">C13</f>
        <v>0</v>
      </c>
      <c r="D14" s="15" t="n">
        <f aca="false">C14-ROUND(C14*Рычаги!$B$10,0)+D13</f>
        <v>0</v>
      </c>
      <c r="E14" s="15" t="n">
        <f aca="false">D14-ROUND(D14*Рычаги!$B$10,0)+E13</f>
        <v>0</v>
      </c>
      <c r="F14" s="15" t="n">
        <f aca="false">E14-ROUND(E14*Рычаги!$B$10,0)+F13</f>
        <v>0</v>
      </c>
      <c r="G14" s="15" t="n">
        <f aca="false">F14-ROUND(F14*Рычаги!$B$10,0)+G13</f>
        <v>0</v>
      </c>
      <c r="H14" s="15" t="n">
        <f aca="false">G14-ROUND(G14*Рычаги!$B$10,0)+H13</f>
        <v>0</v>
      </c>
      <c r="I14" s="15" t="n">
        <f aca="false">H14-ROUND(H14*Рычаги!$B$10,0)+I13</f>
        <v>0</v>
      </c>
      <c r="J14" s="15" t="n">
        <f aca="false">I14-ROUND(I14*Рычаги!$B$10,0)+J13</f>
        <v>0</v>
      </c>
      <c r="K14" s="15" t="n">
        <f aca="false">J14-ROUND(J14*Рычаги!$B$10,0)+K13</f>
        <v>1083</v>
      </c>
      <c r="L14" s="15" t="n">
        <f aca="false">K14-ROUND(K14*Рычаги!$B$10,0)+L13</f>
        <v>3163</v>
      </c>
      <c r="M14" s="15" t="n">
        <f aca="false">L14-ROUND(L14*Рычаги!$B$10,0)+M13</f>
        <v>6160</v>
      </c>
      <c r="N14" s="15" t="n">
        <f aca="false">M14-ROUND(M14*Рычаги!$B$10,0)+N13</f>
        <v>10000</v>
      </c>
      <c r="O14" s="15" t="n">
        <f aca="false">N14-ROUND(N14*Рычаги!$B$10,0)+O13</f>
        <v>14452</v>
      </c>
      <c r="P14" s="15" t="n">
        <f aca="false">O14-ROUND(O14*Рычаги!$B$10,0)+P13</f>
        <v>19467</v>
      </c>
      <c r="Q14" s="15" t="n">
        <f aca="false">P14-ROUND(P14*Рычаги!$B$10,0)+Q13</f>
        <v>25000</v>
      </c>
      <c r="R14" s="15" t="n">
        <f aca="false">Q14-ROUND(Q14*Рычаги!$B$10,0)+R13</f>
        <v>33060</v>
      </c>
      <c r="S14" s="15" t="n">
        <f aca="false">R14-ROUND(R14*Рычаги!$B$10,0)+S13</f>
        <v>43445</v>
      </c>
      <c r="T14" s="15" t="n">
        <f aca="false">S14-ROUND(S14*Рычаги!$B$10,0)+T13</f>
        <v>55969</v>
      </c>
      <c r="U14" s="15" t="n">
        <f aca="false">T14-ROUND(T14*Рычаги!$B$10,0)+U13</f>
        <v>67491</v>
      </c>
      <c r="V14" s="15" t="n">
        <f aca="false">U14-ROUND(U14*Рычаги!$B$10,0)+V13</f>
        <v>78092</v>
      </c>
      <c r="W14" s="15" t="n">
        <f aca="false">V14-ROUND(V14*Рычаги!$B$10,0)+W13</f>
        <v>87845</v>
      </c>
      <c r="X14" s="15" t="n">
        <f aca="false">W14-ROUND(W14*Рычаги!$B$10,0)+X13</f>
        <v>96817</v>
      </c>
      <c r="Y14" s="15" t="n">
        <f aca="false">X14-ROUND(X14*Рычаги!$B$10,0)+Y13</f>
        <v>105072</v>
      </c>
      <c r="Z14" s="15" t="n">
        <f aca="false">Y14-ROUND(Y14*Рычаги!$B$10,0)+Z13</f>
        <v>112666</v>
      </c>
      <c r="AA14" s="15" t="n">
        <f aca="false">Z14-ROUND(Z14*Рычаги!$B$10,0)+AA13</f>
        <v>119653</v>
      </c>
      <c r="AB14" s="15" t="n">
        <f aca="false">AA14-ROUND(AA14*Рычаги!$B$10,0)+AB13</f>
        <v>126081</v>
      </c>
      <c r="AC14" s="15" t="n">
        <f aca="false">AB14-ROUND(AB14*Рычаги!$B$10,0)+AC13</f>
        <v>131995</v>
      </c>
      <c r="AD14" s="15" t="n">
        <f aca="false">AC14-ROUND(AC14*Рычаги!$B$10,0)+AD13</f>
        <v>137435</v>
      </c>
      <c r="AE14" s="15" t="n">
        <f aca="false">AD14-ROUND(AD14*Рычаги!$B$10,0)+AE13</f>
        <v>142440</v>
      </c>
      <c r="AF14" s="15" t="n">
        <f aca="false">AE14-ROUND(AE14*Рычаги!$B$10,0)+AF13</f>
        <v>147045</v>
      </c>
      <c r="AG14" s="15" t="n">
        <f aca="false">AF14-ROUND(AF14*Рычаги!$B$10,0)+AG13</f>
        <v>151281</v>
      </c>
      <c r="AH14" s="15" t="n">
        <f aca="false">AG14-ROUND(AG14*Рычаги!$B$10,0)+AH13</f>
        <v>155179</v>
      </c>
      <c r="AI14" s="15" t="n">
        <f aca="false">AH14-ROUND(AH14*Рычаги!$B$10,0)+AI13</f>
        <v>158765</v>
      </c>
      <c r="AJ14" s="15" t="n">
        <f aca="false">AI14-ROUND(AI14*Рычаги!$B$10,0)+AJ13</f>
        <v>162064</v>
      </c>
      <c r="AK14" s="15" t="n">
        <f aca="false">AJ14-ROUND(AJ14*Рычаги!$B$10,0)+AK13</f>
        <v>165099</v>
      </c>
      <c r="AL14" s="15" t="n">
        <f aca="false">AK14-ROUND(AK14*Рычаги!$B$10,0)+AL13</f>
        <v>167891</v>
      </c>
    </row>
    <row r="15" customFormat="false" ht="15" hidden="false" customHeight="false" outlineLevel="0" collapsed="false">
      <c r="A15" s="17" t="s">
        <v>68</v>
      </c>
      <c r="B15" s="2" t="s">
        <v>60</v>
      </c>
      <c r="C15" s="18" t="n">
        <f aca="false">C14*Рычаги!$B$9</f>
        <v>0</v>
      </c>
      <c r="D15" s="18" t="n">
        <f aca="false">D14*Рычаги!$B$9</f>
        <v>0</v>
      </c>
      <c r="E15" s="18" t="n">
        <f aca="false">E14*Рычаги!$B$9</f>
        <v>0</v>
      </c>
      <c r="F15" s="18" t="n">
        <f aca="false">F14*Рычаги!$B$9</f>
        <v>0</v>
      </c>
      <c r="G15" s="18" t="n">
        <f aca="false">G14*Рычаги!$B$9</f>
        <v>0</v>
      </c>
      <c r="H15" s="18" t="n">
        <f aca="false">H14*Рычаги!$B$9</f>
        <v>0</v>
      </c>
      <c r="I15" s="18" t="n">
        <f aca="false">I14*Рычаги!$B$9</f>
        <v>0</v>
      </c>
      <c r="J15" s="18" t="n">
        <f aca="false">J14*Рычаги!$B$9</f>
        <v>0</v>
      </c>
      <c r="K15" s="18" t="n">
        <f aca="false">K14*Рычаги!$B$9</f>
        <v>10830</v>
      </c>
      <c r="L15" s="18" t="n">
        <f aca="false">L14*Рычаги!$B$9</f>
        <v>31630</v>
      </c>
      <c r="M15" s="18" t="n">
        <f aca="false">M14*Рычаги!$B$9</f>
        <v>61600</v>
      </c>
      <c r="N15" s="18" t="n">
        <f aca="false">N14*Рычаги!$B$9</f>
        <v>100000</v>
      </c>
      <c r="O15" s="18" t="n">
        <f aca="false">O14*Рычаги!$B$9</f>
        <v>144520</v>
      </c>
      <c r="P15" s="18" t="n">
        <f aca="false">P14*Рычаги!$B$9</f>
        <v>194670</v>
      </c>
      <c r="Q15" s="18" t="n">
        <f aca="false">Q14*Рычаги!$B$9</f>
        <v>250000</v>
      </c>
      <c r="R15" s="18" t="n">
        <f aca="false">R14*Рычаги!$B$9</f>
        <v>330600</v>
      </c>
      <c r="S15" s="18" t="n">
        <f aca="false">S14*Рычаги!$B$9</f>
        <v>434450</v>
      </c>
      <c r="T15" s="18" t="n">
        <f aca="false">T14*Рычаги!$B$9</f>
        <v>559690</v>
      </c>
      <c r="U15" s="18" t="n">
        <f aca="false">U14*Рычаги!$B$9</f>
        <v>674910</v>
      </c>
      <c r="V15" s="18" t="n">
        <f aca="false">V14*Рычаги!$B$9</f>
        <v>780920</v>
      </c>
      <c r="W15" s="18" t="n">
        <f aca="false">W14*Рычаги!$B$9</f>
        <v>878450</v>
      </c>
      <c r="X15" s="18" t="n">
        <f aca="false">X14*Рычаги!$B$9</f>
        <v>968170</v>
      </c>
      <c r="Y15" s="18" t="n">
        <f aca="false">Y14*Рычаги!$B$9</f>
        <v>1050720</v>
      </c>
      <c r="Z15" s="18" t="n">
        <f aca="false">Z14*Рычаги!$B$9</f>
        <v>1126660</v>
      </c>
      <c r="AA15" s="18" t="n">
        <f aca="false">AA14*Рычаги!$B$9</f>
        <v>1196530</v>
      </c>
      <c r="AB15" s="18" t="n">
        <f aca="false">AB14*Рычаги!$B$9</f>
        <v>1260810</v>
      </c>
      <c r="AC15" s="18" t="n">
        <f aca="false">AC14*Рычаги!$B$9</f>
        <v>1319950</v>
      </c>
      <c r="AD15" s="18" t="n">
        <f aca="false">AD14*Рычаги!$B$9</f>
        <v>1374350</v>
      </c>
      <c r="AE15" s="18" t="n">
        <f aca="false">AE14*Рычаги!$B$9</f>
        <v>1424400</v>
      </c>
      <c r="AF15" s="18" t="n">
        <f aca="false">AF14*Рычаги!$B$9</f>
        <v>1470450</v>
      </c>
      <c r="AG15" s="18" t="n">
        <f aca="false">AG14*Рычаги!$B$9</f>
        <v>1512810</v>
      </c>
      <c r="AH15" s="18" t="n">
        <f aca="false">AH14*Рычаги!$B$9</f>
        <v>1551790</v>
      </c>
      <c r="AI15" s="18" t="n">
        <f aca="false">AI14*Рычаги!$B$9</f>
        <v>1587650</v>
      </c>
      <c r="AJ15" s="18" t="n">
        <f aca="false">AJ14*Рычаги!$B$9</f>
        <v>1620640</v>
      </c>
      <c r="AK15" s="18" t="n">
        <f aca="false">AK14*Рычаги!$B$9</f>
        <v>1650990</v>
      </c>
      <c r="AL15" s="18" t="n">
        <f aca="false">AL14*Рычаги!$B$9</f>
        <v>1678910</v>
      </c>
    </row>
    <row r="16" customFormat="false" ht="15" hidden="false" customHeight="false" outlineLevel="0" collapsed="false">
      <c r="A16" s="5" t="s">
        <v>69</v>
      </c>
      <c r="B16" s="2" t="s">
        <v>57</v>
      </c>
      <c r="C16" s="14" t="n">
        <v>0</v>
      </c>
      <c r="D16" s="14" t="n">
        <v>0</v>
      </c>
      <c r="E16" s="14" t="n">
        <v>1</v>
      </c>
      <c r="F16" s="14" t="n">
        <v>1</v>
      </c>
      <c r="G16" s="14" t="n">
        <v>1</v>
      </c>
      <c r="H16" s="14" t="n">
        <v>1</v>
      </c>
      <c r="I16" s="14" t="n">
        <v>2</v>
      </c>
      <c r="J16" s="14" t="n">
        <v>3</v>
      </c>
      <c r="K16" s="14" t="n">
        <v>4</v>
      </c>
      <c r="L16" s="14" t="n">
        <v>4</v>
      </c>
      <c r="M16" s="14" t="n">
        <v>4</v>
      </c>
      <c r="N16" s="14" t="n">
        <v>4</v>
      </c>
      <c r="O16" s="14" t="n">
        <v>5</v>
      </c>
      <c r="P16" s="14" t="n">
        <v>5</v>
      </c>
      <c r="Q16" s="14" t="n">
        <v>6</v>
      </c>
      <c r="R16" s="14" t="n">
        <v>7</v>
      </c>
      <c r="S16" s="14" t="n">
        <v>7</v>
      </c>
      <c r="T16" s="14" t="n">
        <v>8</v>
      </c>
      <c r="U16" s="14" t="n">
        <v>8</v>
      </c>
      <c r="V16" s="14" t="n">
        <v>8</v>
      </c>
      <c r="W16" s="14" t="n">
        <v>8</v>
      </c>
      <c r="X16" s="14" t="n">
        <v>8</v>
      </c>
      <c r="Y16" s="14" t="n">
        <v>8</v>
      </c>
      <c r="Z16" s="14" t="n">
        <v>8</v>
      </c>
      <c r="AA16" s="14" t="n">
        <v>8</v>
      </c>
      <c r="AB16" s="14" t="n">
        <v>8</v>
      </c>
      <c r="AC16" s="14" t="n">
        <v>8</v>
      </c>
      <c r="AD16" s="14" t="n">
        <v>8</v>
      </c>
      <c r="AE16" s="14" t="n">
        <v>8</v>
      </c>
      <c r="AF16" s="14" t="n">
        <v>8</v>
      </c>
      <c r="AG16" s="14" t="n">
        <v>8</v>
      </c>
      <c r="AH16" s="14" t="n">
        <v>8</v>
      </c>
      <c r="AI16" s="14" t="n">
        <v>8</v>
      </c>
      <c r="AJ16" s="14" t="n">
        <v>8</v>
      </c>
      <c r="AK16" s="14" t="n">
        <v>8</v>
      </c>
      <c r="AL16" s="14" t="n">
        <v>8</v>
      </c>
    </row>
    <row r="17" customFormat="false" ht="15" hidden="false" customHeight="false" outlineLevel="0" collapsed="false">
      <c r="A17" s="17" t="s">
        <v>70</v>
      </c>
      <c r="B17" s="2" t="s">
        <v>60</v>
      </c>
      <c r="C17" s="18" t="n">
        <f aca="false">C16*Рычаги!$B$12</f>
        <v>0</v>
      </c>
      <c r="D17" s="18" t="n">
        <f aca="false">D16*Рычаги!$B$12</f>
        <v>0</v>
      </c>
      <c r="E17" s="18" t="n">
        <f aca="false">E16*Рычаги!$B$12</f>
        <v>50000</v>
      </c>
      <c r="F17" s="18" t="n">
        <f aca="false">F16*Рычаги!$B$12</f>
        <v>50000</v>
      </c>
      <c r="G17" s="18" t="n">
        <f aca="false">G16*Рычаги!$B$12</f>
        <v>50000</v>
      </c>
      <c r="H17" s="18" t="n">
        <f aca="false">H16*Рычаги!$B$12</f>
        <v>50000</v>
      </c>
      <c r="I17" s="18" t="n">
        <f aca="false">I16*Рычаги!$B$12</f>
        <v>100000</v>
      </c>
      <c r="J17" s="18" t="n">
        <f aca="false">J16*Рычаги!$B$12</f>
        <v>150000</v>
      </c>
      <c r="K17" s="18" t="n">
        <f aca="false">K16*Рычаги!$B$12</f>
        <v>200000</v>
      </c>
      <c r="L17" s="18" t="n">
        <f aca="false">L16*Рычаги!$B$12</f>
        <v>200000</v>
      </c>
      <c r="M17" s="18" t="n">
        <f aca="false">M16*Рычаги!$B$12</f>
        <v>200000</v>
      </c>
      <c r="N17" s="18" t="n">
        <f aca="false">N16*Рычаги!$B$12</f>
        <v>200000</v>
      </c>
      <c r="O17" s="18" t="n">
        <f aca="false">O16*Рычаги!$B$12</f>
        <v>250000</v>
      </c>
      <c r="P17" s="18" t="n">
        <f aca="false">P16*Рычаги!$B$12</f>
        <v>250000</v>
      </c>
      <c r="Q17" s="18" t="n">
        <f aca="false">Q16*Рычаги!$B$12</f>
        <v>300000</v>
      </c>
      <c r="R17" s="18" t="n">
        <f aca="false">R16*Рычаги!$B$12</f>
        <v>350000</v>
      </c>
      <c r="S17" s="18" t="n">
        <f aca="false">S16*Рычаги!$B$12</f>
        <v>350000</v>
      </c>
      <c r="T17" s="18" t="n">
        <f aca="false">T16*Рычаги!$B$12</f>
        <v>400000</v>
      </c>
      <c r="U17" s="18" t="n">
        <f aca="false">U16*Рычаги!$B$12</f>
        <v>400000</v>
      </c>
      <c r="V17" s="18" t="n">
        <f aca="false">V16*Рычаги!$B$12</f>
        <v>400000</v>
      </c>
      <c r="W17" s="18" t="n">
        <f aca="false">W16*Рычаги!$B$12</f>
        <v>400000</v>
      </c>
      <c r="X17" s="18" t="n">
        <f aca="false">X16*Рычаги!$B$12</f>
        <v>400000</v>
      </c>
      <c r="Y17" s="18" t="n">
        <f aca="false">Y16*Рычаги!$B$12</f>
        <v>400000</v>
      </c>
      <c r="Z17" s="18" t="n">
        <f aca="false">Z16*Рычаги!$B$12</f>
        <v>400000</v>
      </c>
      <c r="AA17" s="18" t="n">
        <f aca="false">AA16*Рычаги!$B$12</f>
        <v>400000</v>
      </c>
      <c r="AB17" s="18" t="n">
        <f aca="false">AB16*Рычаги!$B$12</f>
        <v>400000</v>
      </c>
      <c r="AC17" s="18" t="n">
        <f aca="false">AC16*Рычаги!$B$12</f>
        <v>400000</v>
      </c>
      <c r="AD17" s="18" t="n">
        <f aca="false">AD16*Рычаги!$B$12</f>
        <v>400000</v>
      </c>
      <c r="AE17" s="18" t="n">
        <f aca="false">AE16*Рычаги!$B$12</f>
        <v>400000</v>
      </c>
      <c r="AF17" s="18" t="n">
        <f aca="false">AF16*Рычаги!$B$12</f>
        <v>400000</v>
      </c>
      <c r="AG17" s="18" t="n">
        <f aca="false">AG16*Рычаги!$B$12</f>
        <v>400000</v>
      </c>
      <c r="AH17" s="18" t="n">
        <f aca="false">AH16*Рычаги!$B$12</f>
        <v>400000</v>
      </c>
      <c r="AI17" s="18" t="n">
        <f aca="false">AI16*Рычаги!$B$12</f>
        <v>400000</v>
      </c>
      <c r="AJ17" s="18" t="n">
        <f aca="false">AJ16*Рычаги!$B$12</f>
        <v>400000</v>
      </c>
      <c r="AK17" s="18" t="n">
        <f aca="false">AK16*Рычаги!$B$12</f>
        <v>400000</v>
      </c>
      <c r="AL17" s="18" t="n">
        <f aca="false">AL16*Рычаги!$B$12</f>
        <v>400000</v>
      </c>
    </row>
    <row r="18" customFormat="false" ht="15" hidden="false" customHeight="false" outlineLevel="0" collapsed="false">
      <c r="A18" s="4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customFormat="false" ht="15" hidden="false" customHeight="false" outlineLevel="0" collapsed="false">
      <c r="A19" s="5" t="s">
        <v>56</v>
      </c>
      <c r="B19" s="2" t="s">
        <v>57</v>
      </c>
      <c r="C19" s="14" t="n">
        <v>0</v>
      </c>
      <c r="D19" s="14" t="n">
        <v>0</v>
      </c>
      <c r="E19" s="14" t="n">
        <v>2</v>
      </c>
      <c r="F19" s="14" t="n">
        <v>4</v>
      </c>
      <c r="G19" s="14" t="n">
        <v>5</v>
      </c>
      <c r="H19" s="14" t="n">
        <v>6</v>
      </c>
      <c r="I19" s="14" t="n">
        <v>9</v>
      </c>
      <c r="J19" s="14" t="n">
        <v>11</v>
      </c>
      <c r="K19" s="14" t="n">
        <v>13</v>
      </c>
      <c r="L19" s="14" t="n">
        <v>16</v>
      </c>
      <c r="M19" s="14" t="n">
        <v>18</v>
      </c>
      <c r="N19" s="14" t="n">
        <v>20</v>
      </c>
      <c r="O19" s="14" t="n">
        <v>24</v>
      </c>
      <c r="P19" s="14" t="n">
        <v>28</v>
      </c>
      <c r="Q19" s="14" t="n">
        <v>33</v>
      </c>
      <c r="R19" s="14" t="n">
        <v>37</v>
      </c>
      <c r="S19" s="14" t="n">
        <v>41</v>
      </c>
      <c r="T19" s="14" t="n">
        <v>45</v>
      </c>
      <c r="U19" s="14" t="n">
        <v>45</v>
      </c>
      <c r="V19" s="14" t="n">
        <v>45</v>
      </c>
      <c r="W19" s="14" t="n">
        <v>45</v>
      </c>
      <c r="X19" s="14" t="n">
        <v>45</v>
      </c>
      <c r="Y19" s="14" t="n">
        <v>45</v>
      </c>
      <c r="Z19" s="14" t="n">
        <v>45</v>
      </c>
      <c r="AA19" s="14" t="n">
        <v>45</v>
      </c>
      <c r="AB19" s="14" t="n">
        <v>45</v>
      </c>
      <c r="AC19" s="14" t="n">
        <v>45</v>
      </c>
      <c r="AD19" s="14" t="n">
        <v>45</v>
      </c>
      <c r="AE19" s="14" t="n">
        <v>45</v>
      </c>
      <c r="AF19" s="14" t="n">
        <v>45</v>
      </c>
      <c r="AG19" s="14" t="n">
        <v>45</v>
      </c>
      <c r="AH19" s="14" t="n">
        <v>45</v>
      </c>
      <c r="AI19" s="14" t="n">
        <v>45</v>
      </c>
      <c r="AJ19" s="14" t="n">
        <v>45</v>
      </c>
      <c r="AK19" s="14" t="n">
        <v>45</v>
      </c>
      <c r="AL19" s="14" t="n">
        <v>45</v>
      </c>
    </row>
    <row r="20" customFormat="false" ht="15" hidden="false" customHeight="false" outlineLevel="0" collapsed="false">
      <c r="A20" s="5" t="s">
        <v>58</v>
      </c>
      <c r="B20" s="2" t="s">
        <v>57</v>
      </c>
      <c r="C20" s="15" t="n">
        <f aca="false">C19</f>
        <v>0</v>
      </c>
      <c r="D20" s="15" t="n">
        <f aca="false">C20-ROUND(C20*Рычаги!$B$14,0)+D19</f>
        <v>0</v>
      </c>
      <c r="E20" s="15" t="n">
        <f aca="false">D20-ROUND(D20*Рычаги!$B$14,0)+E19</f>
        <v>2</v>
      </c>
      <c r="F20" s="15" t="n">
        <f aca="false">E20-ROUND(E20*Рычаги!$B$14,0)+F19</f>
        <v>6</v>
      </c>
      <c r="G20" s="15" t="n">
        <f aca="false">F20-ROUND(F20*Рычаги!$B$14,0)+G19</f>
        <v>11</v>
      </c>
      <c r="H20" s="15" t="n">
        <f aca="false">G20-ROUND(G20*Рычаги!$B$14,0)+H19</f>
        <v>17</v>
      </c>
      <c r="I20" s="15" t="n">
        <f aca="false">H20-ROUND(H20*Рычаги!$B$14,0)+I19</f>
        <v>26</v>
      </c>
      <c r="J20" s="15" t="n">
        <f aca="false">I20-ROUND(I20*Рычаги!$B$14,0)+J19</f>
        <v>37</v>
      </c>
      <c r="K20" s="15" t="n">
        <f aca="false">J20-ROUND(J20*Рычаги!$B$14,0)+K19</f>
        <v>49</v>
      </c>
      <c r="L20" s="15" t="n">
        <f aca="false">K20-ROUND(K20*Рычаги!$B$14,0)+L19</f>
        <v>64</v>
      </c>
      <c r="M20" s="15" t="n">
        <f aca="false">L20-ROUND(L20*Рычаги!$B$14,0)+M19</f>
        <v>81</v>
      </c>
      <c r="N20" s="15" t="n">
        <f aca="false">M20-ROUND(M20*Рычаги!$B$14,0)+N19</f>
        <v>100</v>
      </c>
      <c r="O20" s="15" t="n">
        <f aca="false">N20-ROUND(N20*Рычаги!$B$14,0)+O19</f>
        <v>122</v>
      </c>
      <c r="P20" s="15" t="n">
        <f aca="false">O20-ROUND(O20*Рычаги!$B$14,0)+P19</f>
        <v>148</v>
      </c>
      <c r="Q20" s="15" t="n">
        <f aca="false">P20-ROUND(P20*Рычаги!$B$14,0)+Q19</f>
        <v>179</v>
      </c>
      <c r="R20" s="15" t="n">
        <f aca="false">Q20-ROUND(Q20*Рычаги!$B$14,0)+R19</f>
        <v>213</v>
      </c>
      <c r="S20" s="15" t="n">
        <f aca="false">R20-ROUND(R20*Рычаги!$B$14,0)+S19</f>
        <v>251</v>
      </c>
      <c r="T20" s="15" t="n">
        <f aca="false">S20-ROUND(S20*Рычаги!$B$14,0)+T19</f>
        <v>292</v>
      </c>
      <c r="U20" s="15" t="n">
        <f aca="false">T20-ROUND(T20*Рычаги!$B$14,0)+U19</f>
        <v>333</v>
      </c>
      <c r="V20" s="15" t="n">
        <f aca="false">U20-ROUND(U20*Рычаги!$B$14,0)+V19</f>
        <v>373</v>
      </c>
      <c r="W20" s="15" t="n">
        <f aca="false">V20-ROUND(V20*Рычаги!$B$14,0)+W19</f>
        <v>412</v>
      </c>
      <c r="X20" s="15" t="n">
        <f aca="false">W20-ROUND(W20*Рычаги!$B$14,0)+X19</f>
        <v>451</v>
      </c>
      <c r="Y20" s="15" t="n">
        <f aca="false">X20-ROUND(X20*Рычаги!$B$14,0)+Y19</f>
        <v>489</v>
      </c>
      <c r="Z20" s="15" t="n">
        <f aca="false">Y20-ROUND(Y20*Рычаги!$B$14,0)+Z19</f>
        <v>527</v>
      </c>
      <c r="AA20" s="15" t="n">
        <f aca="false">Z20-ROUND(Z20*Рычаги!$B$14,0)+AA19</f>
        <v>564</v>
      </c>
      <c r="AB20" s="15" t="n">
        <f aca="false">AA20-ROUND(AA20*Рычаги!$B$14,0)+AB19</f>
        <v>601</v>
      </c>
      <c r="AC20" s="15" t="n">
        <f aca="false">AB20-ROUND(AB20*Рычаги!$B$14,0)+AC19</f>
        <v>637</v>
      </c>
      <c r="AD20" s="15" t="n">
        <f aca="false">AC20-ROUND(AC20*Рычаги!$B$14,0)+AD19</f>
        <v>672</v>
      </c>
      <c r="AE20" s="15" t="n">
        <f aca="false">AD20-ROUND(AD20*Рычаги!$B$14,0)+AE19</f>
        <v>707</v>
      </c>
      <c r="AF20" s="15" t="n">
        <f aca="false">AE20-ROUND(AE20*Рычаги!$B$14,0)+AF19</f>
        <v>741</v>
      </c>
      <c r="AG20" s="15" t="n">
        <f aca="false">AF20-ROUND(AF20*Рычаги!$B$14,0)+AG19</f>
        <v>775</v>
      </c>
      <c r="AH20" s="15" t="n">
        <f aca="false">AG20-ROUND(AG20*Рычаги!$B$14,0)+AH19</f>
        <v>808</v>
      </c>
      <c r="AI20" s="15" t="n">
        <f aca="false">AH20-ROUND(AH20*Рычаги!$B$14,0)+AI19</f>
        <v>841</v>
      </c>
      <c r="AJ20" s="15" t="n">
        <f aca="false">AI20-ROUND(AI20*Рычаги!$B$14,0)+AJ19</f>
        <v>873</v>
      </c>
      <c r="AK20" s="15" t="n">
        <f aca="false">AJ20-ROUND(AJ20*Рычаги!$B$14,0)+AK19</f>
        <v>905</v>
      </c>
      <c r="AL20" s="15" t="n">
        <f aca="false">AK20-ROUND(AK20*Рычаги!$B$14,0)+AL19</f>
        <v>936</v>
      </c>
    </row>
    <row r="21" customFormat="false" ht="15" hidden="false" customHeight="false" outlineLevel="0" collapsed="false">
      <c r="A21" s="5" t="s">
        <v>59</v>
      </c>
      <c r="B21" s="2" t="s">
        <v>60</v>
      </c>
      <c r="C21" s="16" t="n">
        <v>0</v>
      </c>
      <c r="D21" s="16" t="n">
        <v>0</v>
      </c>
      <c r="E21" s="16" t="n">
        <v>800</v>
      </c>
      <c r="F21" s="16" t="n">
        <v>880</v>
      </c>
      <c r="G21" s="16" t="n">
        <v>960</v>
      </c>
      <c r="H21" s="16" t="n">
        <v>1040</v>
      </c>
      <c r="I21" s="16" t="n">
        <v>1120</v>
      </c>
      <c r="J21" s="16" t="n">
        <v>1200</v>
      </c>
      <c r="K21" s="16" t="n">
        <v>1280</v>
      </c>
      <c r="L21" s="16" t="n">
        <v>1360</v>
      </c>
      <c r="M21" s="16" t="n">
        <v>1440</v>
      </c>
      <c r="N21" s="16" t="n">
        <v>1520</v>
      </c>
      <c r="O21" s="16" t="n">
        <v>1600</v>
      </c>
      <c r="P21" s="16" t="n">
        <v>1680</v>
      </c>
      <c r="Q21" s="16" t="n">
        <v>1760</v>
      </c>
      <c r="R21" s="16" t="n">
        <v>1840</v>
      </c>
      <c r="S21" s="16" t="n">
        <v>1920</v>
      </c>
      <c r="T21" s="16" t="n">
        <v>2000</v>
      </c>
      <c r="U21" s="16" t="n">
        <v>2000</v>
      </c>
      <c r="V21" s="16" t="n">
        <v>2000</v>
      </c>
      <c r="W21" s="16" t="n">
        <v>2000</v>
      </c>
      <c r="X21" s="16" t="n">
        <v>2000</v>
      </c>
      <c r="Y21" s="16" t="n">
        <v>2000</v>
      </c>
      <c r="Z21" s="16" t="n">
        <v>2000</v>
      </c>
      <c r="AA21" s="16" t="n">
        <v>2000</v>
      </c>
      <c r="AB21" s="16" t="n">
        <v>2000</v>
      </c>
      <c r="AC21" s="16" t="n">
        <v>2000</v>
      </c>
      <c r="AD21" s="16" t="n">
        <v>2000</v>
      </c>
      <c r="AE21" s="16" t="n">
        <v>2000</v>
      </c>
      <c r="AF21" s="16" t="n">
        <v>2000</v>
      </c>
      <c r="AG21" s="16" t="n">
        <v>2000</v>
      </c>
      <c r="AH21" s="16" t="n">
        <v>2000</v>
      </c>
      <c r="AI21" s="16" t="n">
        <v>2000</v>
      </c>
      <c r="AJ21" s="16" t="n">
        <v>2000</v>
      </c>
      <c r="AK21" s="16" t="n">
        <v>2000</v>
      </c>
      <c r="AL21" s="16" t="n">
        <v>2000</v>
      </c>
    </row>
    <row r="22" customFormat="false" ht="15" hidden="false" customHeight="false" outlineLevel="0" collapsed="false">
      <c r="A22" s="17" t="s">
        <v>71</v>
      </c>
      <c r="B22" s="2" t="s">
        <v>60</v>
      </c>
      <c r="C22" s="18" t="n">
        <f aca="false">C20*C21</f>
        <v>0</v>
      </c>
      <c r="D22" s="18" t="n">
        <f aca="false">D20*D21</f>
        <v>0</v>
      </c>
      <c r="E22" s="18" t="n">
        <f aca="false">E20*E21</f>
        <v>1600</v>
      </c>
      <c r="F22" s="18" t="n">
        <f aca="false">F20*F21</f>
        <v>5280</v>
      </c>
      <c r="G22" s="18" t="n">
        <f aca="false">G20*G21</f>
        <v>10560</v>
      </c>
      <c r="H22" s="18" t="n">
        <f aca="false">H20*H21</f>
        <v>17680</v>
      </c>
      <c r="I22" s="18" t="n">
        <f aca="false">I20*I21</f>
        <v>29120</v>
      </c>
      <c r="J22" s="18" t="n">
        <f aca="false">J20*J21</f>
        <v>44400</v>
      </c>
      <c r="K22" s="18" t="n">
        <f aca="false">K20*K21</f>
        <v>62720</v>
      </c>
      <c r="L22" s="18" t="n">
        <f aca="false">L20*L21</f>
        <v>87040</v>
      </c>
      <c r="M22" s="18" t="n">
        <f aca="false">M20*M21</f>
        <v>116640</v>
      </c>
      <c r="N22" s="18" t="n">
        <f aca="false">N20*N21</f>
        <v>152000</v>
      </c>
      <c r="O22" s="18" t="n">
        <f aca="false">O20*O21</f>
        <v>195200</v>
      </c>
      <c r="P22" s="18" t="n">
        <f aca="false">P20*P21</f>
        <v>248640</v>
      </c>
      <c r="Q22" s="18" t="n">
        <f aca="false">Q20*Q21</f>
        <v>315040</v>
      </c>
      <c r="R22" s="18" t="n">
        <f aca="false">R20*R21</f>
        <v>391920</v>
      </c>
      <c r="S22" s="18" t="n">
        <f aca="false">S20*S21</f>
        <v>481920</v>
      </c>
      <c r="T22" s="18" t="n">
        <f aca="false">T20*T21</f>
        <v>584000</v>
      </c>
      <c r="U22" s="18" t="n">
        <f aca="false">U20*U21</f>
        <v>666000</v>
      </c>
      <c r="V22" s="18" t="n">
        <f aca="false">V20*V21</f>
        <v>746000</v>
      </c>
      <c r="W22" s="18" t="n">
        <f aca="false">W20*W21</f>
        <v>824000</v>
      </c>
      <c r="X22" s="18" t="n">
        <f aca="false">X20*X21</f>
        <v>902000</v>
      </c>
      <c r="Y22" s="18" t="n">
        <f aca="false">Y20*Y21</f>
        <v>978000</v>
      </c>
      <c r="Z22" s="18" t="n">
        <f aca="false">Z20*Z21</f>
        <v>1054000</v>
      </c>
      <c r="AA22" s="18" t="n">
        <f aca="false">AA20*AA21</f>
        <v>1128000</v>
      </c>
      <c r="AB22" s="18" t="n">
        <f aca="false">AB20*AB21</f>
        <v>1202000</v>
      </c>
      <c r="AC22" s="18" t="n">
        <f aca="false">AC20*AC21</f>
        <v>1274000</v>
      </c>
      <c r="AD22" s="18" t="n">
        <f aca="false">AD20*AD21</f>
        <v>1344000</v>
      </c>
      <c r="AE22" s="18" t="n">
        <f aca="false">AE20*AE21</f>
        <v>1414000</v>
      </c>
      <c r="AF22" s="18" t="n">
        <f aca="false">AF20*AF21</f>
        <v>1482000</v>
      </c>
      <c r="AG22" s="18" t="n">
        <f aca="false">AG20*AG21</f>
        <v>1550000</v>
      </c>
      <c r="AH22" s="18" t="n">
        <f aca="false">AH20*AH21</f>
        <v>1616000</v>
      </c>
      <c r="AI22" s="18" t="n">
        <f aca="false">AI20*AI21</f>
        <v>1682000</v>
      </c>
      <c r="AJ22" s="18" t="n">
        <f aca="false">AJ20*AJ21</f>
        <v>1746000</v>
      </c>
      <c r="AK22" s="18" t="n">
        <f aca="false">AK20*AK21</f>
        <v>1810000</v>
      </c>
      <c r="AL22" s="18" t="n">
        <f aca="false">AL20*AL21</f>
        <v>1872000</v>
      </c>
    </row>
    <row r="23" customFormat="false" ht="15" hidden="false" customHeight="false" outlineLevel="0" collapsed="false">
      <c r="A23" s="4" t="s">
        <v>72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customFormat="false" ht="15" hidden="false" customHeight="false" outlineLevel="0" collapsed="false">
      <c r="A24" s="17" t="s">
        <v>73</v>
      </c>
      <c r="B24" s="2" t="s">
        <v>60</v>
      </c>
      <c r="C24" s="18" t="n">
        <f aca="false">C10+C15+C17+C22</f>
        <v>0</v>
      </c>
      <c r="D24" s="18" t="n">
        <f aca="false">D10+D15+D17+D22</f>
        <v>4000</v>
      </c>
      <c r="E24" s="18" t="n">
        <f aca="false">E10+E15+E17+E22</f>
        <v>59600</v>
      </c>
      <c r="F24" s="18" t="n">
        <f aca="false">F10+F15+F17+F22</f>
        <v>63280</v>
      </c>
      <c r="G24" s="18" t="n">
        <f aca="false">G10+G15+G17+G22</f>
        <v>68560</v>
      </c>
      <c r="H24" s="18" t="n">
        <f aca="false">H10+H15+H17+H22</f>
        <v>117680</v>
      </c>
      <c r="I24" s="18" t="n">
        <f aca="false">I10+I15+I17+I22</f>
        <v>216619.95</v>
      </c>
      <c r="J24" s="18" t="n">
        <f aca="false">J10+J15+J17+J22</f>
        <v>334400.07</v>
      </c>
      <c r="K24" s="18" t="n">
        <f aca="false">K10+K15+K17+K22</f>
        <v>483550</v>
      </c>
      <c r="L24" s="18" t="n">
        <f aca="false">L10+L15+L17+L22</f>
        <v>627003.21</v>
      </c>
      <c r="M24" s="18" t="n">
        <f aca="false">M10+M15+M17+M22</f>
        <v>818240.16</v>
      </c>
      <c r="N24" s="18" t="n">
        <f aca="false">N10+N15+N17+N22</f>
        <v>1052000</v>
      </c>
      <c r="O24" s="18" t="n">
        <f aca="false">O10+O15+O17+O22</f>
        <v>1380553.09</v>
      </c>
      <c r="P24" s="18" t="n">
        <f aca="false">P10+P15+P17+P22</f>
        <v>1708310.29</v>
      </c>
      <c r="Q24" s="18" t="n">
        <f aca="false">Q10+Q15+Q17+Q22</f>
        <v>2152540</v>
      </c>
      <c r="R24" s="18" t="n">
        <f aca="false">R10+R15+R17+R22</f>
        <v>2672519.6</v>
      </c>
      <c r="S24" s="18" t="n">
        <f aca="false">S10+S15+S17+S22</f>
        <v>3235537.13</v>
      </c>
      <c r="T24" s="18" t="n">
        <f aca="false">T10+T15+T17+T22</f>
        <v>3928690</v>
      </c>
      <c r="U24" s="18" t="n">
        <f aca="false">U10+U15+U17+U22</f>
        <v>4410910</v>
      </c>
      <c r="V24" s="18" t="n">
        <f aca="false">V10+V15+V17+V22</f>
        <v>4881920</v>
      </c>
      <c r="W24" s="18" t="n">
        <f aca="false">W10+W15+W17+W22</f>
        <v>5342450</v>
      </c>
      <c r="X24" s="18" t="n">
        <f aca="false">X10+X15+X17+X22</f>
        <v>5795170</v>
      </c>
      <c r="Y24" s="18" t="n">
        <f aca="false">Y10+Y15+Y17+Y22</f>
        <v>6238720</v>
      </c>
      <c r="Z24" s="18" t="n">
        <f aca="false">Z10+Z15+Z17+Z22</f>
        <v>6660660</v>
      </c>
      <c r="AA24" s="18" t="n">
        <f aca="false">AA10+AA15+AA17+AA22</f>
        <v>7074530</v>
      </c>
      <c r="AB24" s="18" t="n">
        <f aca="false">AB10+AB15+AB17+AB22</f>
        <v>7482810</v>
      </c>
      <c r="AC24" s="18" t="n">
        <f aca="false">AC10+AC15+AC17+AC22</f>
        <v>7883950</v>
      </c>
      <c r="AD24" s="18" t="n">
        <f aca="false">AD10+AD15+AD17+AD22</f>
        <v>8278350</v>
      </c>
      <c r="AE24" s="18" t="n">
        <f aca="false">AE10+AE15+AE17+AE22</f>
        <v>8668400</v>
      </c>
      <c r="AF24" s="18" t="n">
        <f aca="false">AF10+AF15+AF17+AF22</f>
        <v>9037450</v>
      </c>
      <c r="AG24" s="18" t="n">
        <f aca="false">AG10+AG15+AG17+AG22</f>
        <v>9402810</v>
      </c>
      <c r="AH24" s="18" t="n">
        <f aca="false">AH10+AH15+AH17+AH22</f>
        <v>9762790</v>
      </c>
      <c r="AI24" s="18" t="n">
        <f aca="false">AI10+AI15+AI17+AI22</f>
        <v>10119650</v>
      </c>
      <c r="AJ24" s="18" t="n">
        <f aca="false">AJ10+AJ15+AJ17+AJ22</f>
        <v>10471640</v>
      </c>
      <c r="AK24" s="18" t="n">
        <f aca="false">AK10+AK15+AK17+AK22</f>
        <v>10820990</v>
      </c>
      <c r="AL24" s="18" t="n">
        <f aca="false">AL10+AL15+AL17+AL22</f>
        <v>11150910</v>
      </c>
    </row>
    <row r="25" customFormat="false" ht="15" hidden="false" customHeight="false" outlineLevel="0" collapsed="false">
      <c r="A25" s="5" t="s">
        <v>74</v>
      </c>
      <c r="B25" s="2" t="s">
        <v>75</v>
      </c>
      <c r="C25" s="18" t="n">
        <f aca="false">(C10-C9*Рычаги!$B$7)*12</f>
        <v>0</v>
      </c>
      <c r="D25" s="18" t="n">
        <f aca="false">(D10-D9*Рычаги!$B$7)*12</f>
        <v>0</v>
      </c>
      <c r="E25" s="18" t="n">
        <f aca="false">(E10-E9*Рычаги!$B$7)*12</f>
        <v>0</v>
      </c>
      <c r="F25" s="18" t="n">
        <f aca="false">(F10-F9*Рычаги!$B$7)*12</f>
        <v>0</v>
      </c>
      <c r="G25" s="18" t="n">
        <f aca="false">(G10-G9*Рычаги!$B$7)*12</f>
        <v>0</v>
      </c>
      <c r="H25" s="18" t="n">
        <f aca="false">(H10-H9*Рычаги!$B$7)*12</f>
        <v>600000</v>
      </c>
      <c r="I25" s="18" t="n">
        <f aca="false">(I10-I9*Рычаги!$B$7)*12</f>
        <v>1049999.4</v>
      </c>
      <c r="J25" s="18" t="n">
        <f aca="false">(J10-J9*Рычаги!$B$7)*12</f>
        <v>1680000.84</v>
      </c>
      <c r="K25" s="18" t="n">
        <f aca="false">(K10-K9*Рычаги!$B$7)*12</f>
        <v>2520000</v>
      </c>
      <c r="L25" s="18" t="n">
        <f aca="false">(L10-L9*Рычаги!$B$7)*12</f>
        <v>3699998.52</v>
      </c>
      <c r="M25" s="18" t="n">
        <f aca="false">(M10-M9*Рычаги!$B$7)*12</f>
        <v>5280001.92</v>
      </c>
      <c r="N25" s="18" t="n">
        <f aca="false">(N10-N9*Рычаги!$B$7)*12</f>
        <v>7200000</v>
      </c>
      <c r="O25" s="18" t="n">
        <f aca="false">(O10-O9*Рычаги!$B$7)*12</f>
        <v>9489997.08</v>
      </c>
      <c r="P25" s="18" t="n">
        <f aca="false">(P10-P9*Рычаги!$B$7)*12</f>
        <v>12180003.48</v>
      </c>
      <c r="Q25" s="18" t="n">
        <f aca="false">(Q10-Q9*Рычаги!$B$7)*12</f>
        <v>15450000</v>
      </c>
      <c r="R25" s="18" t="n">
        <f aca="false">(R10-R9*Рычаги!$B$7)*12</f>
        <v>19199995.2</v>
      </c>
      <c r="S25" s="18" t="n">
        <f aca="false">(S10-S9*Рычаги!$B$7)*12</f>
        <v>23630005.56</v>
      </c>
      <c r="T25" s="18" t="n">
        <f aca="false">(T10-T9*Рычаги!$B$7)*12</f>
        <v>28620000</v>
      </c>
      <c r="U25" s="18" t="n">
        <f aca="false">(U10-U9*Рычаги!$B$7)*12</f>
        <v>32040000</v>
      </c>
      <c r="V25" s="18" t="n">
        <f aca="false">(V10-V9*Рычаги!$B$7)*12</f>
        <v>35460000</v>
      </c>
      <c r="W25" s="18" t="n">
        <f aca="false">(W10-W9*Рычаги!$B$7)*12</f>
        <v>38880000</v>
      </c>
      <c r="X25" s="18" t="n">
        <f aca="false">(X10-X9*Рычаги!$B$7)*12</f>
        <v>42300000</v>
      </c>
      <c r="Y25" s="18" t="n">
        <f aca="false">(Y10-Y9*Рычаги!$B$7)*12</f>
        <v>45720000</v>
      </c>
      <c r="Z25" s="18" t="n">
        <f aca="false">(Z10-Z9*Рычаги!$B$7)*12</f>
        <v>48960000</v>
      </c>
      <c r="AA25" s="18" t="n">
        <f aca="false">(AA10-AA9*Рычаги!$B$7)*12</f>
        <v>52200000</v>
      </c>
      <c r="AB25" s="18" t="n">
        <f aca="false">(AB10-AB9*Рычаги!$B$7)*12</f>
        <v>55440000</v>
      </c>
      <c r="AC25" s="18" t="n">
        <f aca="false">(AC10-AC9*Рычаги!$B$7)*12</f>
        <v>58680000</v>
      </c>
      <c r="AD25" s="18" t="n">
        <f aca="false">(AD10-AD9*Рычаги!$B$7)*12</f>
        <v>61920000</v>
      </c>
      <c r="AE25" s="18" t="n">
        <f aca="false">(AE10-AE9*Рычаги!$B$7)*12</f>
        <v>65160000</v>
      </c>
      <c r="AF25" s="18" t="n">
        <f aca="false">(AF10-AF9*Рычаги!$B$7)*12</f>
        <v>68220000</v>
      </c>
      <c r="AG25" s="18" t="n">
        <f aca="false">(AG10-AG9*Рычаги!$B$7)*12</f>
        <v>71280000</v>
      </c>
      <c r="AH25" s="18" t="n">
        <f aca="false">(AH10-AH9*Рычаги!$B$7)*12</f>
        <v>74340000</v>
      </c>
      <c r="AI25" s="18" t="n">
        <f aca="false">(AI10-AI9*Рычаги!$B$7)*12</f>
        <v>77400000</v>
      </c>
      <c r="AJ25" s="18" t="n">
        <f aca="false">(AJ10-AJ9*Рычаги!$B$7)*12</f>
        <v>80460000</v>
      </c>
      <c r="AK25" s="18" t="n">
        <f aca="false">(AK10-AK9*Рычаги!$B$7)*12</f>
        <v>83520000</v>
      </c>
      <c r="AL25" s="18" t="n">
        <f aca="false">(AL10-AL9*Рычаги!$B$7)*12</f>
        <v>86400000</v>
      </c>
    </row>
    <row r="26" customFormat="false" ht="15" hidden="false" customHeight="false" outlineLevel="0" collapsed="false">
      <c r="A26" s="17" t="s">
        <v>76</v>
      </c>
      <c r="B26" s="2" t="s">
        <v>75</v>
      </c>
      <c r="C26" s="18" t="n">
        <f aca="false">C25+(C15+C22)*12</f>
        <v>0</v>
      </c>
      <c r="D26" s="18" t="n">
        <f aca="false">D25+(D15+D22)*12</f>
        <v>0</v>
      </c>
      <c r="E26" s="18" t="n">
        <f aca="false">E25+(E15+E22)*12</f>
        <v>19200</v>
      </c>
      <c r="F26" s="18" t="n">
        <f aca="false">F25+(F15+F22)*12</f>
        <v>63360</v>
      </c>
      <c r="G26" s="18" t="n">
        <f aca="false">G25+(G15+G22)*12</f>
        <v>126720</v>
      </c>
      <c r="H26" s="18" t="n">
        <f aca="false">H25+(H15+H22)*12</f>
        <v>812160</v>
      </c>
      <c r="I26" s="18" t="n">
        <f aca="false">I25+(I15+I22)*12</f>
        <v>1399439.4</v>
      </c>
      <c r="J26" s="18" t="n">
        <f aca="false">J25+(J15+J22)*12</f>
        <v>2212800.84</v>
      </c>
      <c r="K26" s="18" t="n">
        <f aca="false">K25+(K15+K22)*12</f>
        <v>3402600</v>
      </c>
      <c r="L26" s="18" t="n">
        <f aca="false">L25+(L15+L22)*12</f>
        <v>5124038.52</v>
      </c>
      <c r="M26" s="18" t="n">
        <f aca="false">M25+(M15+M22)*12</f>
        <v>7418881.92</v>
      </c>
      <c r="N26" s="18" t="n">
        <f aca="false">N25+(N15+N22)*12</f>
        <v>10224000</v>
      </c>
      <c r="O26" s="18" t="n">
        <f aca="false">O25+(O15+O22)*12</f>
        <v>13566637.08</v>
      </c>
      <c r="P26" s="18" t="n">
        <f aca="false">P25+(P15+P22)*12</f>
        <v>17499723.48</v>
      </c>
      <c r="Q26" s="18" t="n">
        <f aca="false">Q25+(Q15+Q22)*12</f>
        <v>22230480</v>
      </c>
      <c r="R26" s="18" t="n">
        <f aca="false">R25+(R15+R22)*12</f>
        <v>27870235.2</v>
      </c>
      <c r="S26" s="18" t="n">
        <f aca="false">S25+(S15+S22)*12</f>
        <v>34626445.56</v>
      </c>
      <c r="T26" s="18" t="n">
        <f aca="false">T25+(T15+T22)*12</f>
        <v>42344280</v>
      </c>
      <c r="U26" s="18" t="n">
        <f aca="false">U25+(U15+U22)*12</f>
        <v>48130920</v>
      </c>
      <c r="V26" s="18" t="n">
        <f aca="false">V25+(V15+V22)*12</f>
        <v>53783040</v>
      </c>
      <c r="W26" s="18" t="n">
        <f aca="false">W25+(W15+W22)*12</f>
        <v>59309400</v>
      </c>
      <c r="X26" s="18" t="n">
        <f aca="false">X25+(X15+X22)*12</f>
        <v>64742040</v>
      </c>
      <c r="Y26" s="18" t="n">
        <f aca="false">Y25+(Y15+Y22)*12</f>
        <v>70064640</v>
      </c>
      <c r="Z26" s="18" t="n">
        <f aca="false">Z25+(Z15+Z22)*12</f>
        <v>75127920</v>
      </c>
      <c r="AA26" s="18" t="n">
        <f aca="false">AA25+(AA15+AA22)*12</f>
        <v>80094360</v>
      </c>
      <c r="AB26" s="18" t="n">
        <f aca="false">AB25+(AB15+AB22)*12</f>
        <v>84993720</v>
      </c>
      <c r="AC26" s="18" t="n">
        <f aca="false">AC25+(AC15+AC22)*12</f>
        <v>89807400</v>
      </c>
      <c r="AD26" s="18" t="n">
        <f aca="false">AD25+(AD15+AD22)*12</f>
        <v>94540200</v>
      </c>
      <c r="AE26" s="18" t="n">
        <f aca="false">AE25+(AE15+AE22)*12</f>
        <v>99220800</v>
      </c>
      <c r="AF26" s="18" t="n">
        <f aca="false">AF25+(AF15+AF22)*12</f>
        <v>103649400</v>
      </c>
      <c r="AG26" s="18" t="n">
        <f aca="false">AG25+(AG15+AG22)*12</f>
        <v>108033720</v>
      </c>
      <c r="AH26" s="18" t="n">
        <f aca="false">AH25+(AH15+AH22)*12</f>
        <v>112353480</v>
      </c>
      <c r="AI26" s="18" t="n">
        <f aca="false">AI25+(AI15+AI22)*12</f>
        <v>116635800</v>
      </c>
      <c r="AJ26" s="18" t="n">
        <f aca="false">AJ25+(AJ15+AJ22)*12</f>
        <v>120859680</v>
      </c>
      <c r="AK26" s="18" t="n">
        <f aca="false">AK25+(AK15+AK22)*12</f>
        <v>125051880</v>
      </c>
      <c r="AL26" s="18" t="n">
        <f aca="false">AL25+(AL15+AL22)*12</f>
        <v>129010920</v>
      </c>
    </row>
    <row r="27" customFormat="false" ht="15" hidden="false" customHeight="false" outlineLevel="0" collapsed="false">
      <c r="A27" s="4" t="s">
        <v>77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customFormat="false" ht="15" hidden="false" customHeight="false" outlineLevel="0" collapsed="false">
      <c r="A28" s="5" t="s">
        <v>78</v>
      </c>
      <c r="B28" s="2" t="s">
        <v>60</v>
      </c>
      <c r="C28" s="18" t="n">
        <f aca="false">C10*Рычаги!$B$19+C15*Рычаги!$B$20+C17*Рычаги!$B$21+C22*Рычаги!$B$22</f>
        <v>0</v>
      </c>
      <c r="D28" s="18" t="n">
        <f aca="false">D10*Рычаги!$B$19+D15*Рычаги!$B$20+D17*Рычаги!$B$21+D22*Рычаги!$B$22</f>
        <v>1200</v>
      </c>
      <c r="E28" s="18" t="n">
        <f aca="false">E10*Рычаги!$B$19+E15*Рычаги!$B$20+E17*Рычаги!$B$21+E22*Рычаги!$B$22</f>
        <v>22640</v>
      </c>
      <c r="F28" s="18" t="n">
        <f aca="false">F10*Рычаги!$B$19+F15*Рычаги!$B$20+F17*Рычаги!$B$21+F22*Рычаги!$B$22</f>
        <v>23192</v>
      </c>
      <c r="G28" s="18" t="n">
        <f aca="false">G10*Рычаги!$B$19+G15*Рычаги!$B$20+G17*Рычаги!$B$21+G22*Рычаги!$B$22</f>
        <v>23984</v>
      </c>
      <c r="H28" s="18" t="n">
        <f aca="false">H10*Рычаги!$B$19+H15*Рычаги!$B$20+H17*Рычаги!$B$21+H22*Рычаги!$B$22</f>
        <v>37652</v>
      </c>
      <c r="I28" s="18" t="n">
        <f aca="false">I10*Рычаги!$B$19+I15*Рычаги!$B$20+I17*Рычаги!$B$21+I22*Рычаги!$B$22</f>
        <v>70617.985</v>
      </c>
      <c r="J28" s="18" t="n">
        <f aca="false">J10*Рычаги!$B$19+J15*Рычаги!$B$20+J17*Рычаги!$B$21+J22*Рычаги!$B$22</f>
        <v>108660.021</v>
      </c>
      <c r="K28" s="18" t="n">
        <f aca="false">K10*Рычаги!$B$19+K15*Рычаги!$B$20+K17*Рычаги!$B$21+K22*Рычаги!$B$22</f>
        <v>155115.5</v>
      </c>
      <c r="L28" s="18" t="n">
        <f aca="false">L10*Рычаги!$B$19+L15*Рычаги!$B$20+L17*Рычаги!$B$21+L22*Рычаги!$B$22</f>
        <v>193463.463</v>
      </c>
      <c r="M28" s="18" t="n">
        <f aca="false">M10*Рычаги!$B$19+M15*Рычаги!$B$20+M17*Рычаги!$B$21+M22*Рычаги!$B$22</f>
        <v>244896.048</v>
      </c>
      <c r="N28" s="18" t="n">
        <f aca="false">N10*Рычаги!$B$19+N15*Рычаги!$B$20+N17*Рычаги!$B$21+N22*Рычаги!$B$22</f>
        <v>307800</v>
      </c>
      <c r="O28" s="18" t="n">
        <f aca="false">O10*Рычаги!$B$19+O15*Рычаги!$B$20+O17*Рычаги!$B$21+O22*Рычаги!$B$22</f>
        <v>402659.927</v>
      </c>
      <c r="P28" s="18" t="n">
        <f aca="false">P10*Рычаги!$B$19+P15*Рычаги!$B$20+P17*Рычаги!$B$21+P22*Рычаги!$B$22</f>
        <v>490463.587</v>
      </c>
      <c r="Q28" s="18" t="n">
        <f aca="false">Q10*Рычаги!$B$19+Q15*Рычаги!$B$20+Q17*Рычаги!$B$21+Q22*Рычаги!$B$22</f>
        <v>616006</v>
      </c>
      <c r="R28" s="18" t="n">
        <f aca="false">R10*Рычаги!$B$19+R15*Рычаги!$B$20+R17*Рычаги!$B$21+R22*Рычаги!$B$22</f>
        <v>761437.88</v>
      </c>
      <c r="S28" s="18" t="n">
        <f aca="false">S10*Рычаги!$B$19+S15*Рычаги!$B$20+S17*Рычаги!$B$21+S22*Рычаги!$B$22</f>
        <v>911650.639</v>
      </c>
      <c r="T28" s="18" t="n">
        <f aca="false">T10*Рычаги!$B$19+T15*Рычаги!$B$20+T17*Рычаги!$B$21+T22*Рычаги!$B$22</f>
        <v>1103022.5</v>
      </c>
      <c r="U28" s="18" t="n">
        <f aca="false">U10*Рычаги!$B$19+U15*Рычаги!$B$20+U17*Рычаги!$B$21+U22*Рычаги!$B$22</f>
        <v>1229627.5</v>
      </c>
      <c r="V28" s="18" t="n">
        <f aca="false">V10*Рычаги!$B$19+V15*Рычаги!$B$20+V17*Рычаги!$B$21+V22*Рычаги!$B$22</f>
        <v>1353630</v>
      </c>
      <c r="W28" s="18" t="n">
        <f aca="false">W10*Рычаги!$B$19+W15*Рычаги!$B$20+W17*Рычаги!$B$21+W22*Рычаги!$B$22</f>
        <v>1475212.5</v>
      </c>
      <c r="X28" s="18" t="n">
        <f aca="false">X10*Рычаги!$B$19+X15*Рычаги!$B$20+X17*Рычаги!$B$21+X22*Рычаги!$B$22</f>
        <v>1594842.5</v>
      </c>
      <c r="Y28" s="18" t="n">
        <f aca="false">Y10*Рычаги!$B$19+Y15*Рычаги!$B$20+Y17*Рычаги!$B$21+Y22*Рычаги!$B$22</f>
        <v>1712380</v>
      </c>
      <c r="Z28" s="18" t="n">
        <f aca="false">Z10*Рычаги!$B$19+Z15*Рычаги!$B$20+Z17*Рычаги!$B$21+Z22*Рычаги!$B$22</f>
        <v>1823765</v>
      </c>
      <c r="AA28" s="18" t="n">
        <f aca="false">AA10*Рычаги!$B$19+AA15*Рычаги!$B$20+AA17*Рычаги!$B$21+AA22*Рычаги!$B$22</f>
        <v>1933332.5</v>
      </c>
      <c r="AB28" s="18" t="n">
        <f aca="false">AB10*Рычаги!$B$19+AB15*Рычаги!$B$20+AB17*Рычаги!$B$21+AB22*Рычаги!$B$22</f>
        <v>2041502.5</v>
      </c>
      <c r="AC28" s="18" t="n">
        <f aca="false">AC10*Рычаги!$B$19+AC15*Рычаги!$B$20+AC17*Рычаги!$B$21+AC22*Рычаги!$B$22</f>
        <v>2148087.5</v>
      </c>
      <c r="AD28" s="18" t="n">
        <f aca="false">AD10*Рычаги!$B$19+AD15*Рычаги!$B$20+AD17*Рычаги!$B$21+AD22*Рычаги!$B$22</f>
        <v>2253187.5</v>
      </c>
      <c r="AE28" s="18" t="n">
        <f aca="false">AE10*Рычаги!$B$19+AE15*Рычаги!$B$20+AE17*Рычаги!$B$21+AE22*Рычаги!$B$22</f>
        <v>2357200</v>
      </c>
      <c r="AF28" s="18" t="n">
        <f aca="false">AF10*Рычаги!$B$19+AF15*Рычаги!$B$20+AF17*Рычаги!$B$21+AF22*Рычаги!$B$22</f>
        <v>2455412.5</v>
      </c>
      <c r="AG28" s="18" t="n">
        <f aca="false">AG10*Рычаги!$B$19+AG15*Рычаги!$B$20+AG17*Рычаги!$B$21+AG22*Рычаги!$B$22</f>
        <v>2552702.5</v>
      </c>
      <c r="AH28" s="18" t="n">
        <f aca="false">AH10*Рычаги!$B$19+AH15*Рычаги!$B$20+AH17*Рычаги!$B$21+AH22*Рычаги!$B$22</f>
        <v>2648847.5</v>
      </c>
      <c r="AI28" s="18" t="n">
        <f aca="false">AI10*Рычаги!$B$19+AI15*Рычаги!$B$20+AI17*Рычаги!$B$21+AI22*Рычаги!$B$22</f>
        <v>2744212.5</v>
      </c>
      <c r="AJ28" s="18" t="n">
        <f aca="false">AJ10*Рычаги!$B$19+AJ15*Рычаги!$B$20+AJ17*Рычаги!$B$21+AJ22*Рычаги!$B$22</f>
        <v>2838560</v>
      </c>
      <c r="AK28" s="18" t="n">
        <f aca="false">AK10*Рычаги!$B$19+AK15*Рычаги!$B$20+AK17*Рычаги!$B$21+AK22*Рычаги!$B$22</f>
        <v>2932247.5</v>
      </c>
      <c r="AL28" s="18" t="n">
        <f aca="false">AL10*Рычаги!$B$19+AL15*Рычаги!$B$20+AL17*Рычаги!$B$21+AL22*Рычаги!$B$22</f>
        <v>3020527.5</v>
      </c>
    </row>
    <row r="29" customFormat="false" ht="15" hidden="false" customHeight="false" outlineLevel="0" collapsed="false">
      <c r="A29" s="17" t="s">
        <v>79</v>
      </c>
      <c r="B29" s="2" t="s">
        <v>60</v>
      </c>
      <c r="C29" s="18" t="n">
        <f aca="false">C24-C28</f>
        <v>0</v>
      </c>
      <c r="D29" s="18" t="n">
        <f aca="false">D24-D28</f>
        <v>2800</v>
      </c>
      <c r="E29" s="18" t="n">
        <f aca="false">E24-E28</f>
        <v>36960</v>
      </c>
      <c r="F29" s="18" t="n">
        <f aca="false">F24-F28</f>
        <v>40088</v>
      </c>
      <c r="G29" s="18" t="n">
        <f aca="false">G24-G28</f>
        <v>44576</v>
      </c>
      <c r="H29" s="18" t="n">
        <f aca="false">H24-H28</f>
        <v>80028</v>
      </c>
      <c r="I29" s="18" t="n">
        <f aca="false">I24-I28</f>
        <v>146001.965</v>
      </c>
      <c r="J29" s="18" t="n">
        <f aca="false">J24-J28</f>
        <v>225740.049</v>
      </c>
      <c r="K29" s="18" t="n">
        <f aca="false">K24-K28</f>
        <v>328434.5</v>
      </c>
      <c r="L29" s="18" t="n">
        <f aca="false">L24-L28</f>
        <v>433539.747</v>
      </c>
      <c r="M29" s="18" t="n">
        <f aca="false">M24-M28</f>
        <v>573344.112</v>
      </c>
      <c r="N29" s="18" t="n">
        <f aca="false">N24-N28</f>
        <v>744200</v>
      </c>
      <c r="O29" s="18" t="n">
        <f aca="false">O24-O28</f>
        <v>977893.163</v>
      </c>
      <c r="P29" s="18" t="n">
        <f aca="false">P24-P28</f>
        <v>1217846.703</v>
      </c>
      <c r="Q29" s="18" t="n">
        <f aca="false">Q24-Q28</f>
        <v>1536534</v>
      </c>
      <c r="R29" s="18" t="n">
        <f aca="false">R24-R28</f>
        <v>1911081.72</v>
      </c>
      <c r="S29" s="18" t="n">
        <f aca="false">S24-S28</f>
        <v>2323886.491</v>
      </c>
      <c r="T29" s="18" t="n">
        <f aca="false">T24-T28</f>
        <v>2825667.5</v>
      </c>
      <c r="U29" s="18" t="n">
        <f aca="false">U24-U28</f>
        <v>3181282.5</v>
      </c>
      <c r="V29" s="18" t="n">
        <f aca="false">V24-V28</f>
        <v>3528290</v>
      </c>
      <c r="W29" s="18" t="n">
        <f aca="false">W24-W28</f>
        <v>3867237.5</v>
      </c>
      <c r="X29" s="18" t="n">
        <f aca="false">X24-X28</f>
        <v>4200327.5</v>
      </c>
      <c r="Y29" s="18" t="n">
        <f aca="false">Y24-Y28</f>
        <v>4526340</v>
      </c>
      <c r="Z29" s="18" t="n">
        <f aca="false">Z24-Z28</f>
        <v>4836895</v>
      </c>
      <c r="AA29" s="18" t="n">
        <f aca="false">AA24-AA28</f>
        <v>5141197.5</v>
      </c>
      <c r="AB29" s="18" t="n">
        <f aca="false">AB24-AB28</f>
        <v>5441307.5</v>
      </c>
      <c r="AC29" s="18" t="n">
        <f aca="false">AC24-AC28</f>
        <v>5735862.5</v>
      </c>
      <c r="AD29" s="18" t="n">
        <f aca="false">AD24-AD28</f>
        <v>6025162.5</v>
      </c>
      <c r="AE29" s="18" t="n">
        <f aca="false">AE24-AE28</f>
        <v>6311200</v>
      </c>
      <c r="AF29" s="18" t="n">
        <f aca="false">AF24-AF28</f>
        <v>6582037.5</v>
      </c>
      <c r="AG29" s="18" t="n">
        <f aca="false">AG24-AG28</f>
        <v>6850107.5</v>
      </c>
      <c r="AH29" s="18" t="n">
        <f aca="false">AH24-AH28</f>
        <v>7113942.5</v>
      </c>
      <c r="AI29" s="18" t="n">
        <f aca="false">AI24-AI28</f>
        <v>7375437.5</v>
      </c>
      <c r="AJ29" s="18" t="n">
        <f aca="false">AJ24-AJ28</f>
        <v>7633080</v>
      </c>
      <c r="AK29" s="18" t="n">
        <f aca="false">AK24-AK28</f>
        <v>7888742.5</v>
      </c>
      <c r="AL29" s="18" t="n">
        <f aca="false">AL24-AL28</f>
        <v>8130382.5</v>
      </c>
    </row>
    <row r="30" customFormat="false" ht="15" hidden="false" customHeight="false" outlineLevel="0" collapsed="false">
      <c r="A30" s="4" t="s">
        <v>80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customFormat="false" ht="15" hidden="false" customHeight="false" outlineLevel="0" collapsed="false">
      <c r="A31" s="5" t="s">
        <v>81</v>
      </c>
      <c r="B31" s="2" t="s">
        <v>82</v>
      </c>
      <c r="C31" s="14" t="n">
        <v>10</v>
      </c>
      <c r="D31" s="14" t="n">
        <v>20</v>
      </c>
      <c r="E31" s="14" t="n">
        <v>30</v>
      </c>
      <c r="F31" s="14" t="n">
        <v>38</v>
      </c>
      <c r="G31" s="14" t="n">
        <v>47</v>
      </c>
      <c r="H31" s="14" t="n">
        <v>55</v>
      </c>
      <c r="I31" s="14" t="n">
        <v>62</v>
      </c>
      <c r="J31" s="14" t="n">
        <v>68</v>
      </c>
      <c r="K31" s="14" t="n">
        <v>75</v>
      </c>
      <c r="L31" s="14" t="n">
        <v>82</v>
      </c>
      <c r="M31" s="14" t="n">
        <v>88</v>
      </c>
      <c r="N31" s="14" t="n">
        <v>95</v>
      </c>
      <c r="O31" s="14" t="n">
        <v>102</v>
      </c>
      <c r="P31" s="14" t="n">
        <v>108</v>
      </c>
      <c r="Q31" s="14" t="n">
        <v>115</v>
      </c>
      <c r="R31" s="14" t="n">
        <v>122</v>
      </c>
      <c r="S31" s="14" t="n">
        <v>128</v>
      </c>
      <c r="T31" s="14" t="n">
        <v>135</v>
      </c>
      <c r="U31" s="14" t="n">
        <v>139</v>
      </c>
      <c r="V31" s="14" t="n">
        <v>143</v>
      </c>
      <c r="W31" s="14" t="n">
        <v>148</v>
      </c>
      <c r="X31" s="14" t="n">
        <v>152</v>
      </c>
      <c r="Y31" s="14" t="n">
        <v>156</v>
      </c>
      <c r="Z31" s="14" t="n">
        <v>160</v>
      </c>
      <c r="AA31" s="14" t="n">
        <v>163</v>
      </c>
      <c r="AB31" s="14" t="n">
        <v>165</v>
      </c>
      <c r="AC31" s="14" t="n">
        <v>168</v>
      </c>
      <c r="AD31" s="14" t="n">
        <v>170</v>
      </c>
      <c r="AE31" s="14" t="n">
        <v>173</v>
      </c>
      <c r="AF31" s="14" t="n">
        <v>175</v>
      </c>
      <c r="AG31" s="14" t="n">
        <v>178</v>
      </c>
      <c r="AH31" s="14" t="n">
        <v>180</v>
      </c>
      <c r="AI31" s="14" t="n">
        <v>183</v>
      </c>
      <c r="AJ31" s="14" t="n">
        <v>185</v>
      </c>
      <c r="AK31" s="14" t="n">
        <v>188</v>
      </c>
      <c r="AL31" s="14" t="n">
        <v>190</v>
      </c>
    </row>
    <row r="32" customFormat="false" ht="15" hidden="false" customHeight="false" outlineLevel="0" collapsed="false">
      <c r="A32" s="5" t="s">
        <v>83</v>
      </c>
      <c r="B32" s="2" t="s">
        <v>60</v>
      </c>
      <c r="C32" s="18" t="n">
        <f aca="false">C31*Рычаги!$B$16/12</f>
        <v>125000</v>
      </c>
      <c r="D32" s="18" t="n">
        <f aca="false">D31*Рычаги!$B$16/12</f>
        <v>250000</v>
      </c>
      <c r="E32" s="18" t="n">
        <f aca="false">E31*Рычаги!$B$16/12</f>
        <v>375000</v>
      </c>
      <c r="F32" s="18" t="n">
        <f aca="false">F31*Рычаги!$B$16/12</f>
        <v>475000</v>
      </c>
      <c r="G32" s="18" t="n">
        <f aca="false">G31*Рычаги!$B$16/12</f>
        <v>587500</v>
      </c>
      <c r="H32" s="18" t="n">
        <f aca="false">H31*Рычаги!$B$16/12</f>
        <v>687500</v>
      </c>
      <c r="I32" s="18" t="n">
        <f aca="false">I31*Рычаги!$B$16/12</f>
        <v>775000</v>
      </c>
      <c r="J32" s="18" t="n">
        <f aca="false">J31*Рычаги!$B$16/12</f>
        <v>850000</v>
      </c>
      <c r="K32" s="18" t="n">
        <f aca="false">K31*Рычаги!$B$16/12</f>
        <v>937500</v>
      </c>
      <c r="L32" s="18" t="n">
        <f aca="false">L31*Рычаги!$B$16/12</f>
        <v>1025000</v>
      </c>
      <c r="M32" s="18" t="n">
        <f aca="false">M31*Рычаги!$B$16/12</f>
        <v>1100000</v>
      </c>
      <c r="N32" s="18" t="n">
        <f aca="false">N31*Рычаги!$B$16/12</f>
        <v>1187500</v>
      </c>
      <c r="O32" s="18" t="n">
        <f aca="false">O31*Рычаги!$B$16/12</f>
        <v>1275000</v>
      </c>
      <c r="P32" s="18" t="n">
        <f aca="false">P31*Рычаги!$B$16/12</f>
        <v>1350000</v>
      </c>
      <c r="Q32" s="18" t="n">
        <f aca="false">Q31*Рычаги!$B$16/12</f>
        <v>1437500</v>
      </c>
      <c r="R32" s="18" t="n">
        <f aca="false">R31*Рычаги!$B$16/12</f>
        <v>1525000</v>
      </c>
      <c r="S32" s="18" t="n">
        <f aca="false">S31*Рычаги!$B$16/12</f>
        <v>1600000</v>
      </c>
      <c r="T32" s="18" t="n">
        <f aca="false">T31*Рычаги!$B$16/12</f>
        <v>1687500</v>
      </c>
      <c r="U32" s="18" t="n">
        <f aca="false">U31*Рычаги!$B$16/12</f>
        <v>1737500</v>
      </c>
      <c r="V32" s="18" t="n">
        <f aca="false">V31*Рычаги!$B$16/12</f>
        <v>1787500</v>
      </c>
      <c r="W32" s="18" t="n">
        <f aca="false">W31*Рычаги!$B$16/12</f>
        <v>1850000</v>
      </c>
      <c r="X32" s="18" t="n">
        <f aca="false">X31*Рычаги!$B$16/12</f>
        <v>1900000</v>
      </c>
      <c r="Y32" s="18" t="n">
        <f aca="false">Y31*Рычаги!$B$16/12</f>
        <v>1950000</v>
      </c>
      <c r="Z32" s="18" t="n">
        <f aca="false">Z31*Рычаги!$B$16/12</f>
        <v>2000000</v>
      </c>
      <c r="AA32" s="18" t="n">
        <f aca="false">AA31*Рычаги!$B$16/12</f>
        <v>2037500</v>
      </c>
      <c r="AB32" s="18" t="n">
        <f aca="false">AB31*Рычаги!$B$16/12</f>
        <v>2062500</v>
      </c>
      <c r="AC32" s="18" t="n">
        <f aca="false">AC31*Рычаги!$B$16/12</f>
        <v>2100000</v>
      </c>
      <c r="AD32" s="18" t="n">
        <f aca="false">AD31*Рычаги!$B$16/12</f>
        <v>2125000</v>
      </c>
      <c r="AE32" s="18" t="n">
        <f aca="false">AE31*Рычаги!$B$16/12</f>
        <v>2162500</v>
      </c>
      <c r="AF32" s="18" t="n">
        <f aca="false">AF31*Рычаги!$B$16/12</f>
        <v>2187500</v>
      </c>
      <c r="AG32" s="18" t="n">
        <f aca="false">AG31*Рычаги!$B$16/12</f>
        <v>2225000</v>
      </c>
      <c r="AH32" s="18" t="n">
        <f aca="false">AH31*Рычаги!$B$16/12</f>
        <v>2250000</v>
      </c>
      <c r="AI32" s="18" t="n">
        <f aca="false">AI31*Рычаги!$B$16/12</f>
        <v>2287500</v>
      </c>
      <c r="AJ32" s="18" t="n">
        <f aca="false">AJ31*Рычаги!$B$16/12</f>
        <v>2312500</v>
      </c>
      <c r="AK32" s="18" t="n">
        <f aca="false">AK31*Рычаги!$B$16/12</f>
        <v>2350000</v>
      </c>
      <c r="AL32" s="18" t="n">
        <f aca="false">AL31*Рычаги!$B$16/12</f>
        <v>2375000</v>
      </c>
    </row>
    <row r="33" customFormat="false" ht="15" hidden="false" customHeight="false" outlineLevel="0" collapsed="false">
      <c r="A33" s="5" t="s">
        <v>84</v>
      </c>
      <c r="B33" s="2" t="s">
        <v>60</v>
      </c>
      <c r="C33" s="18" t="n">
        <f aca="false">0</f>
        <v>0</v>
      </c>
      <c r="D33" s="18" t="n">
        <f aca="false">MAX(0,D31-C31)*Рычаги!$B$17</f>
        <v>150000</v>
      </c>
      <c r="E33" s="18" t="n">
        <f aca="false">MAX(0,E31-D31)*Рычаги!$B$17</f>
        <v>150000</v>
      </c>
      <c r="F33" s="18" t="n">
        <f aca="false">MAX(0,F31-E31)*Рычаги!$B$17</f>
        <v>120000</v>
      </c>
      <c r="G33" s="18" t="n">
        <f aca="false">MAX(0,G31-F31)*Рычаги!$B$17</f>
        <v>135000</v>
      </c>
      <c r="H33" s="18" t="n">
        <f aca="false">MAX(0,H31-G31)*Рычаги!$B$17</f>
        <v>120000</v>
      </c>
      <c r="I33" s="18" t="n">
        <f aca="false">MAX(0,I31-H31)*Рычаги!$B$17</f>
        <v>105000</v>
      </c>
      <c r="J33" s="18" t="n">
        <f aca="false">MAX(0,J31-I31)*Рычаги!$B$17</f>
        <v>90000</v>
      </c>
      <c r="K33" s="18" t="n">
        <f aca="false">MAX(0,K31-J31)*Рычаги!$B$17</f>
        <v>105000</v>
      </c>
      <c r="L33" s="18" t="n">
        <f aca="false">MAX(0,L31-K31)*Рычаги!$B$17</f>
        <v>105000</v>
      </c>
      <c r="M33" s="18" t="n">
        <f aca="false">MAX(0,M31-L31)*Рычаги!$B$17</f>
        <v>90000</v>
      </c>
      <c r="N33" s="18" t="n">
        <f aca="false">MAX(0,N31-M31)*Рычаги!$B$17</f>
        <v>105000</v>
      </c>
      <c r="O33" s="18" t="n">
        <f aca="false">MAX(0,O31-N31)*Рычаги!$B$17</f>
        <v>105000</v>
      </c>
      <c r="P33" s="18" t="n">
        <f aca="false">MAX(0,P31-O31)*Рычаги!$B$17</f>
        <v>90000</v>
      </c>
      <c r="Q33" s="18" t="n">
        <f aca="false">MAX(0,Q31-P31)*Рычаги!$B$17</f>
        <v>105000</v>
      </c>
      <c r="R33" s="18" t="n">
        <f aca="false">MAX(0,R31-Q31)*Рычаги!$B$17</f>
        <v>105000</v>
      </c>
      <c r="S33" s="18" t="n">
        <f aca="false">MAX(0,S31-R31)*Рычаги!$B$17</f>
        <v>90000</v>
      </c>
      <c r="T33" s="18" t="n">
        <f aca="false">MAX(0,T31-S31)*Рычаги!$B$17</f>
        <v>105000</v>
      </c>
      <c r="U33" s="18" t="n">
        <f aca="false">MAX(0,U31-T31)*Рычаги!$B$17</f>
        <v>60000</v>
      </c>
      <c r="V33" s="18" t="n">
        <f aca="false">MAX(0,V31-U31)*Рычаги!$B$17</f>
        <v>60000</v>
      </c>
      <c r="W33" s="18" t="n">
        <f aca="false">MAX(0,W31-V31)*Рычаги!$B$17</f>
        <v>75000</v>
      </c>
      <c r="X33" s="18" t="n">
        <f aca="false">MAX(0,X31-W31)*Рычаги!$B$17</f>
        <v>60000</v>
      </c>
      <c r="Y33" s="18" t="n">
        <f aca="false">MAX(0,Y31-X31)*Рычаги!$B$17</f>
        <v>60000</v>
      </c>
      <c r="Z33" s="18" t="n">
        <f aca="false">MAX(0,Z31-Y31)*Рычаги!$B$17</f>
        <v>60000</v>
      </c>
      <c r="AA33" s="18" t="n">
        <f aca="false">MAX(0,AA31-Z31)*Рычаги!$B$17</f>
        <v>45000</v>
      </c>
      <c r="AB33" s="18" t="n">
        <f aca="false">MAX(0,AB31-AA31)*Рычаги!$B$17</f>
        <v>30000</v>
      </c>
      <c r="AC33" s="18" t="n">
        <f aca="false">MAX(0,AC31-AB31)*Рычаги!$B$17</f>
        <v>45000</v>
      </c>
      <c r="AD33" s="18" t="n">
        <f aca="false">MAX(0,AD31-AC31)*Рычаги!$B$17</f>
        <v>30000</v>
      </c>
      <c r="AE33" s="18" t="n">
        <f aca="false">MAX(0,AE31-AD31)*Рычаги!$B$17</f>
        <v>45000</v>
      </c>
      <c r="AF33" s="18" t="n">
        <f aca="false">MAX(0,AF31-AE31)*Рычаги!$B$17</f>
        <v>30000</v>
      </c>
      <c r="AG33" s="18" t="n">
        <f aca="false">MAX(0,AG31-AF31)*Рычаги!$B$17</f>
        <v>45000</v>
      </c>
      <c r="AH33" s="18" t="n">
        <f aca="false">MAX(0,AH31-AG31)*Рычаги!$B$17</f>
        <v>30000</v>
      </c>
      <c r="AI33" s="18" t="n">
        <f aca="false">MAX(0,AI31-AH31)*Рычаги!$B$17</f>
        <v>45000</v>
      </c>
      <c r="AJ33" s="18" t="n">
        <f aca="false">MAX(0,AJ31-AI31)*Рычаги!$B$17</f>
        <v>30000</v>
      </c>
      <c r="AK33" s="18" t="n">
        <f aca="false">MAX(0,AK31-AJ31)*Рычаги!$B$17</f>
        <v>45000</v>
      </c>
      <c r="AL33" s="18" t="n">
        <f aca="false">MAX(0,AL31-AK31)*Рычаги!$B$17</f>
        <v>30000</v>
      </c>
    </row>
    <row r="34" customFormat="false" ht="15" hidden="false" customHeight="false" outlineLevel="0" collapsed="false">
      <c r="A34" s="5" t="s">
        <v>85</v>
      </c>
      <c r="B34" s="2" t="s">
        <v>60</v>
      </c>
      <c r="C34" s="18" t="n">
        <f aca="false">C6*C8*12*Рычаги!$B$24</f>
        <v>0</v>
      </c>
      <c r="D34" s="18" t="n">
        <f aca="false">D6*D8*12*Рычаги!$B$24</f>
        <v>0</v>
      </c>
      <c r="E34" s="18" t="n">
        <f aca="false">E6*E8*12*Рычаги!$B$24</f>
        <v>0</v>
      </c>
      <c r="F34" s="18" t="n">
        <f aca="false">F6*F8*12*Рычаги!$B$24</f>
        <v>0</v>
      </c>
      <c r="G34" s="18" t="n">
        <f aca="false">G6*G8*12*Рычаги!$B$24</f>
        <v>0</v>
      </c>
      <c r="H34" s="18" t="n">
        <f aca="false">H6*H8*12*Рычаги!$B$24</f>
        <v>30000</v>
      </c>
      <c r="I34" s="18" t="n">
        <f aca="false">I6*I8*12*Рычаги!$B$24</f>
        <v>34999.98</v>
      </c>
      <c r="J34" s="18" t="n">
        <f aca="false">J6*J8*12*Рычаги!$B$24</f>
        <v>48000.024</v>
      </c>
      <c r="K34" s="18" t="n">
        <f aca="false">K6*K8*12*Рычаги!$B$24</f>
        <v>63000</v>
      </c>
      <c r="L34" s="18" t="n">
        <f aca="false">L6*L8*12*Рычаги!$B$24</f>
        <v>89999.964</v>
      </c>
      <c r="M34" s="18" t="n">
        <f aca="false">M6*M8*12*Рычаги!$B$24</f>
        <v>121000.044</v>
      </c>
      <c r="N34" s="18" t="n">
        <f aca="false">N6*N8*12*Рычаги!$B$24</f>
        <v>144000</v>
      </c>
      <c r="O34" s="18" t="n">
        <f aca="false">O6*O8*12*Рычаги!$B$24</f>
        <v>181999.944</v>
      </c>
      <c r="P34" s="18" t="n">
        <f aca="false">P6*P8*12*Рычаги!$B$24</f>
        <v>210000.06</v>
      </c>
      <c r="Q34" s="18" t="n">
        <f aca="false">Q6*Q8*12*Рычаги!$B$24</f>
        <v>255000</v>
      </c>
      <c r="R34" s="18" t="n">
        <f aca="false">R6*R8*12*Рычаги!$B$24</f>
        <v>287999.928</v>
      </c>
      <c r="S34" s="18" t="n">
        <f aca="false">S6*S8*12*Рычаги!$B$24</f>
        <v>340000.08</v>
      </c>
      <c r="T34" s="18" t="n">
        <f aca="false">T6*T8*12*Рычаги!$B$24</f>
        <v>378000</v>
      </c>
      <c r="U34" s="18" t="n">
        <f aca="false">U6*U8*12*Рычаги!$B$24</f>
        <v>378000</v>
      </c>
      <c r="V34" s="18" t="n">
        <f aca="false">V6*V8*12*Рычаги!$B$24</f>
        <v>378000</v>
      </c>
      <c r="W34" s="18" t="n">
        <f aca="false">W6*W8*12*Рычаги!$B$24</f>
        <v>378000</v>
      </c>
      <c r="X34" s="18" t="n">
        <f aca="false">X6*X8*12*Рычаги!$B$24</f>
        <v>378000</v>
      </c>
      <c r="Y34" s="18" t="n">
        <f aca="false">Y6*Y8*12*Рычаги!$B$24</f>
        <v>378000</v>
      </c>
      <c r="Z34" s="18" t="n">
        <f aca="false">Z6*Z8*12*Рычаги!$B$24</f>
        <v>378000</v>
      </c>
      <c r="AA34" s="18" t="n">
        <f aca="false">AA6*AA8*12*Рычаги!$B$24</f>
        <v>378000</v>
      </c>
      <c r="AB34" s="18" t="n">
        <f aca="false">AB6*AB8*12*Рычаги!$B$24</f>
        <v>378000</v>
      </c>
      <c r="AC34" s="18" t="n">
        <f aca="false">AC6*AC8*12*Рычаги!$B$24</f>
        <v>378000</v>
      </c>
      <c r="AD34" s="18" t="n">
        <f aca="false">AD6*AD8*12*Рычаги!$B$24</f>
        <v>378000</v>
      </c>
      <c r="AE34" s="18" t="n">
        <f aca="false">AE6*AE8*12*Рычаги!$B$24</f>
        <v>378000</v>
      </c>
      <c r="AF34" s="18" t="n">
        <f aca="false">AF6*AF8*12*Рычаги!$B$24</f>
        <v>378000</v>
      </c>
      <c r="AG34" s="18" t="n">
        <f aca="false">AG6*AG8*12*Рычаги!$B$24</f>
        <v>378000</v>
      </c>
      <c r="AH34" s="18" t="n">
        <f aca="false">AH6*AH8*12*Рычаги!$B$24</f>
        <v>378000</v>
      </c>
      <c r="AI34" s="18" t="n">
        <f aca="false">AI6*AI8*12*Рычаги!$B$24</f>
        <v>378000</v>
      </c>
      <c r="AJ34" s="18" t="n">
        <f aca="false">AJ6*AJ8*12*Рычаги!$B$24</f>
        <v>378000</v>
      </c>
      <c r="AK34" s="18" t="n">
        <f aca="false">AK6*AK8*12*Рычаги!$B$24</f>
        <v>378000</v>
      </c>
      <c r="AL34" s="18" t="n">
        <f aca="false">AL6*AL8*12*Рычаги!$B$24</f>
        <v>378000</v>
      </c>
    </row>
    <row r="35" customFormat="false" ht="15" hidden="false" customHeight="false" outlineLevel="0" collapsed="false">
      <c r="A35" s="5" t="s">
        <v>86</v>
      </c>
      <c r="B35" s="2" t="s">
        <v>60</v>
      </c>
      <c r="C35" s="18" t="n">
        <f aca="false">C6*Рычаги!$B$25+C19*Рычаги!$B$26+C12*Рычаги!$B$27</f>
        <v>0</v>
      </c>
      <c r="D35" s="18" t="n">
        <f aca="false">D6*Рычаги!$B$25+D19*Рычаги!$B$26+D12*Рычаги!$B$27</f>
        <v>0</v>
      </c>
      <c r="E35" s="18" t="n">
        <f aca="false">E6*Рычаги!$B$25+E19*Рычаги!$B$26+E12*Рычаги!$B$27</f>
        <v>600</v>
      </c>
      <c r="F35" s="18" t="n">
        <f aca="false">F6*Рычаги!$B$25+F19*Рычаги!$B$26+F12*Рычаги!$B$27</f>
        <v>11200</v>
      </c>
      <c r="G35" s="18" t="n">
        <f aca="false">G6*Рычаги!$B$25+G19*Рычаги!$B$26+G12*Рычаги!$B$27</f>
        <v>16500</v>
      </c>
      <c r="H35" s="18" t="n">
        <f aca="false">H6*Рычаги!$B$25+H19*Рычаги!$B$26+H12*Рычаги!$B$27</f>
        <v>26800</v>
      </c>
      <c r="I35" s="18" t="n">
        <f aca="false">I6*Рычаги!$B$25+I19*Рычаги!$B$26+I12*Рычаги!$B$27</f>
        <v>27700</v>
      </c>
      <c r="J35" s="18" t="n">
        <f aca="false">J6*Рычаги!$B$25+J19*Рычаги!$B$26+J12*Рычаги!$B$27</f>
        <v>33300</v>
      </c>
      <c r="K35" s="18" t="n">
        <f aca="false">K6*Рычаги!$B$25+K19*Рычаги!$B$26+K12*Рычаги!$B$27</f>
        <v>60565</v>
      </c>
      <c r="L35" s="18" t="n">
        <f aca="false">L6*Рычаги!$B$25+L19*Рычаги!$B$26+L12*Рычаги!$B$27</f>
        <v>93130</v>
      </c>
      <c r="M35" s="18" t="n">
        <f aca="false">M6*Рычаги!$B$25+M19*Рычаги!$B$26+M12*Рычаги!$B$27</f>
        <v>125395</v>
      </c>
      <c r="N35" s="18" t="n">
        <f aca="false">N6*Рычаги!$B$25+N19*Рычаги!$B$26+N12*Рычаги!$B$27</f>
        <v>152660</v>
      </c>
      <c r="O35" s="18" t="n">
        <f aca="false">O6*Рычаги!$B$25+O19*Рычаги!$B$26+O12*Рычаги!$B$27</f>
        <v>182236.6</v>
      </c>
      <c r="P35" s="18" t="n">
        <f aca="false">P6*Рычаги!$B$25+P19*Рычаги!$B$26+P12*Рычаги!$B$27</f>
        <v>206813.4</v>
      </c>
      <c r="Q35" s="18" t="n">
        <f aca="false">Q6*Рычаги!$B$25+Q19*Рычаги!$B$26+Q12*Рычаги!$B$27</f>
        <v>236690</v>
      </c>
      <c r="R35" s="18" t="n">
        <f aca="false">R6*Рычаги!$B$25+R19*Рычаги!$B$26+R12*Рычаги!$B$27</f>
        <v>302293.4</v>
      </c>
      <c r="S35" s="18" t="n">
        <f aca="false">S6*Рычаги!$B$25+S19*Рычаги!$B$26+S12*Рычаги!$B$27</f>
        <v>372896.6</v>
      </c>
      <c r="T35" s="18" t="n">
        <f aca="false">T6*Рычаги!$B$25+T19*Рычаги!$B$26+T12*Рычаги!$B$27</f>
        <v>438500</v>
      </c>
      <c r="U35" s="18" t="n">
        <f aca="false">U6*Рычаги!$B$25+U19*Рычаги!$B$26+U12*Рычаги!$B$27</f>
        <v>438500</v>
      </c>
      <c r="V35" s="18" t="n">
        <f aca="false">V6*Рычаги!$B$25+V19*Рычаги!$B$26+V12*Рычаги!$B$27</f>
        <v>438500</v>
      </c>
      <c r="W35" s="18" t="n">
        <f aca="false">W6*Рычаги!$B$25+W19*Рычаги!$B$26+W12*Рычаги!$B$27</f>
        <v>438500</v>
      </c>
      <c r="X35" s="18" t="n">
        <f aca="false">X6*Рычаги!$B$25+X19*Рычаги!$B$26+X12*Рычаги!$B$27</f>
        <v>438500</v>
      </c>
      <c r="Y35" s="18" t="n">
        <f aca="false">Y6*Рычаги!$B$25+Y19*Рычаги!$B$26+Y12*Рычаги!$B$27</f>
        <v>438500</v>
      </c>
      <c r="Z35" s="18" t="n">
        <f aca="false">Z6*Рычаги!$B$25+Z19*Рычаги!$B$26+Z12*Рычаги!$B$27</f>
        <v>438500</v>
      </c>
      <c r="AA35" s="18" t="n">
        <f aca="false">AA6*Рычаги!$B$25+AA19*Рычаги!$B$26+AA12*Рычаги!$B$27</f>
        <v>438500</v>
      </c>
      <c r="AB35" s="18" t="n">
        <f aca="false">AB6*Рычаги!$B$25+AB19*Рычаги!$B$26+AB12*Рычаги!$B$27</f>
        <v>438500</v>
      </c>
      <c r="AC35" s="18" t="n">
        <f aca="false">AC6*Рычаги!$B$25+AC19*Рычаги!$B$26+AC12*Рычаги!$B$27</f>
        <v>438500</v>
      </c>
      <c r="AD35" s="18" t="n">
        <f aca="false">AD6*Рычаги!$B$25+AD19*Рычаги!$B$26+AD12*Рычаги!$B$27</f>
        <v>438500</v>
      </c>
      <c r="AE35" s="18" t="n">
        <f aca="false">AE6*Рычаги!$B$25+AE19*Рычаги!$B$26+AE12*Рычаги!$B$27</f>
        <v>438500</v>
      </c>
      <c r="AF35" s="18" t="n">
        <f aca="false">AF6*Рычаги!$B$25+AF19*Рычаги!$B$26+AF12*Рычаги!$B$27</f>
        <v>438500</v>
      </c>
      <c r="AG35" s="18" t="n">
        <f aca="false">AG6*Рычаги!$B$25+AG19*Рычаги!$B$26+AG12*Рычаги!$B$27</f>
        <v>438500</v>
      </c>
      <c r="AH35" s="18" t="n">
        <f aca="false">AH6*Рычаги!$B$25+AH19*Рычаги!$B$26+AH12*Рычаги!$B$27</f>
        <v>438500</v>
      </c>
      <c r="AI35" s="18" t="n">
        <f aca="false">AI6*Рычаги!$B$25+AI19*Рычаги!$B$26+AI12*Рычаги!$B$27</f>
        <v>438500</v>
      </c>
      <c r="AJ35" s="18" t="n">
        <f aca="false">AJ6*Рычаги!$B$25+AJ19*Рычаги!$B$26+AJ12*Рычаги!$B$27</f>
        <v>438500</v>
      </c>
      <c r="AK35" s="18" t="n">
        <f aca="false">AK6*Рычаги!$B$25+AK19*Рычаги!$B$26+AK12*Рычаги!$B$27</f>
        <v>438500</v>
      </c>
      <c r="AL35" s="18" t="n">
        <f aca="false">AL6*Рычаги!$B$25+AL19*Рычаги!$B$26+AL12*Рычаги!$B$27</f>
        <v>438500</v>
      </c>
    </row>
    <row r="36" customFormat="false" ht="15" hidden="false" customHeight="false" outlineLevel="0" collapsed="false">
      <c r="A36" s="5" t="s">
        <v>87</v>
      </c>
      <c r="B36" s="2" t="s">
        <v>60</v>
      </c>
      <c r="C36" s="18" t="n">
        <f aca="false">Рычаги!$B$29+Рычаги!$B$30+Рычаги!$B$31</f>
        <v>260000</v>
      </c>
      <c r="D36" s="18" t="n">
        <f aca="false">Рычаги!$B$29+Рычаги!$B$30+Рычаги!$B$31</f>
        <v>260000</v>
      </c>
      <c r="E36" s="18" t="n">
        <f aca="false">Рычаги!$B$29+Рычаги!$B$30+Рычаги!$B$31</f>
        <v>260000</v>
      </c>
      <c r="F36" s="18" t="n">
        <f aca="false">Рычаги!$B$29+Рычаги!$B$30+Рычаги!$B$31</f>
        <v>260000</v>
      </c>
      <c r="G36" s="18" t="n">
        <f aca="false">Рычаги!$B$29+Рычаги!$B$30+Рычаги!$B$31</f>
        <v>260000</v>
      </c>
      <c r="H36" s="18" t="n">
        <f aca="false">Рычаги!$B$29+Рычаги!$B$30+Рычаги!$B$31</f>
        <v>260000</v>
      </c>
      <c r="I36" s="18" t="n">
        <f aca="false">Рычаги!$B$29+Рычаги!$B$30+Рычаги!$B$31</f>
        <v>260000</v>
      </c>
      <c r="J36" s="18" t="n">
        <f aca="false">Рычаги!$B$29+Рычаги!$B$30+Рычаги!$B$31</f>
        <v>260000</v>
      </c>
      <c r="K36" s="18" t="n">
        <f aca="false">Рычаги!$B$29+Рычаги!$B$30+Рычаги!$B$31</f>
        <v>260000</v>
      </c>
      <c r="L36" s="18" t="n">
        <f aca="false">Рычаги!$B$29+Рычаги!$B$30+Рычаги!$B$31</f>
        <v>260000</v>
      </c>
      <c r="M36" s="18" t="n">
        <f aca="false">Рычаги!$B$29+Рычаги!$B$30+Рычаги!$B$31</f>
        <v>260000</v>
      </c>
      <c r="N36" s="18" t="n">
        <f aca="false">Рычаги!$B$29+Рычаги!$B$30+Рычаги!$B$31</f>
        <v>260000</v>
      </c>
      <c r="O36" s="18" t="n">
        <f aca="false">Рычаги!$B$29+Рычаги!$B$30+Рычаги!$B$31</f>
        <v>260000</v>
      </c>
      <c r="P36" s="18" t="n">
        <f aca="false">Рычаги!$B$29+Рычаги!$B$30+Рычаги!$B$31</f>
        <v>260000</v>
      </c>
      <c r="Q36" s="18" t="n">
        <f aca="false">Рычаги!$B$29+Рычаги!$B$30+Рычаги!$B$31</f>
        <v>260000</v>
      </c>
      <c r="R36" s="18" t="n">
        <f aca="false">Рычаги!$B$29+Рычаги!$B$30+Рычаги!$B$31</f>
        <v>260000</v>
      </c>
      <c r="S36" s="18" t="n">
        <f aca="false">Рычаги!$B$29+Рычаги!$B$30+Рычаги!$B$31</f>
        <v>260000</v>
      </c>
      <c r="T36" s="18" t="n">
        <f aca="false">Рычаги!$B$29+Рычаги!$B$30+Рычаги!$B$31</f>
        <v>260000</v>
      </c>
      <c r="U36" s="18" t="n">
        <f aca="false">Рычаги!$B$29+Рычаги!$B$30+Рычаги!$B$31</f>
        <v>260000</v>
      </c>
      <c r="V36" s="18" t="n">
        <f aca="false">Рычаги!$B$29+Рычаги!$B$30+Рычаги!$B$31</f>
        <v>260000</v>
      </c>
      <c r="W36" s="18" t="n">
        <f aca="false">Рычаги!$B$29+Рычаги!$B$30+Рычаги!$B$31</f>
        <v>260000</v>
      </c>
      <c r="X36" s="18" t="n">
        <f aca="false">Рычаги!$B$29+Рычаги!$B$30+Рычаги!$B$31</f>
        <v>260000</v>
      </c>
      <c r="Y36" s="18" t="n">
        <f aca="false">Рычаги!$B$29+Рычаги!$B$30+Рычаги!$B$31</f>
        <v>260000</v>
      </c>
      <c r="Z36" s="18" t="n">
        <f aca="false">Рычаги!$B$29+Рычаги!$B$30+Рычаги!$B$31</f>
        <v>260000</v>
      </c>
      <c r="AA36" s="18" t="n">
        <f aca="false">Рычаги!$B$29+Рычаги!$B$30+Рычаги!$B$31</f>
        <v>260000</v>
      </c>
      <c r="AB36" s="18" t="n">
        <f aca="false">Рычаги!$B$29+Рычаги!$B$30+Рычаги!$B$31</f>
        <v>260000</v>
      </c>
      <c r="AC36" s="18" t="n">
        <f aca="false">Рычаги!$B$29+Рычаги!$B$30+Рычаги!$B$31</f>
        <v>260000</v>
      </c>
      <c r="AD36" s="18" t="n">
        <f aca="false">Рычаги!$B$29+Рычаги!$B$30+Рычаги!$B$31</f>
        <v>260000</v>
      </c>
      <c r="AE36" s="18" t="n">
        <f aca="false">Рычаги!$B$29+Рычаги!$B$30+Рычаги!$B$31</f>
        <v>260000</v>
      </c>
      <c r="AF36" s="18" t="n">
        <f aca="false">Рычаги!$B$29+Рычаги!$B$30+Рычаги!$B$31</f>
        <v>260000</v>
      </c>
      <c r="AG36" s="18" t="n">
        <f aca="false">Рычаги!$B$29+Рычаги!$B$30+Рычаги!$B$31</f>
        <v>260000</v>
      </c>
      <c r="AH36" s="18" t="n">
        <f aca="false">Рычаги!$B$29+Рычаги!$B$30+Рычаги!$B$31</f>
        <v>260000</v>
      </c>
      <c r="AI36" s="18" t="n">
        <f aca="false">Рычаги!$B$29+Рычаги!$B$30+Рычаги!$B$31</f>
        <v>260000</v>
      </c>
      <c r="AJ36" s="18" t="n">
        <f aca="false">Рычаги!$B$29+Рычаги!$B$30+Рычаги!$B$31</f>
        <v>260000</v>
      </c>
      <c r="AK36" s="18" t="n">
        <f aca="false">Рычаги!$B$29+Рычаги!$B$30+Рычаги!$B$31</f>
        <v>260000</v>
      </c>
      <c r="AL36" s="18" t="n">
        <f aca="false">Рычаги!$B$29+Рычаги!$B$30+Рычаги!$B$31</f>
        <v>260000</v>
      </c>
    </row>
    <row r="37" customFormat="false" ht="15" hidden="false" customHeight="false" outlineLevel="0" collapsed="false">
      <c r="A37" s="5" t="s">
        <v>88</v>
      </c>
      <c r="B37" s="2" t="s">
        <v>60</v>
      </c>
      <c r="C37" s="18" t="n">
        <f aca="false">C32*Рычаги!$B$32</f>
        <v>18750</v>
      </c>
      <c r="D37" s="18" t="n">
        <f aca="false">D32*Рычаги!$B$32</f>
        <v>37500</v>
      </c>
      <c r="E37" s="18" t="n">
        <f aca="false">E32*Рычаги!$B$32</f>
        <v>56250</v>
      </c>
      <c r="F37" s="18" t="n">
        <f aca="false">F32*Рычаги!$B$32</f>
        <v>71250</v>
      </c>
      <c r="G37" s="18" t="n">
        <f aca="false">G32*Рычаги!$B$32</f>
        <v>88125</v>
      </c>
      <c r="H37" s="18" t="n">
        <f aca="false">H32*Рычаги!$B$32</f>
        <v>103125</v>
      </c>
      <c r="I37" s="18" t="n">
        <f aca="false">I32*Рычаги!$B$32</f>
        <v>116250</v>
      </c>
      <c r="J37" s="18" t="n">
        <f aca="false">J32*Рычаги!$B$32</f>
        <v>127500</v>
      </c>
      <c r="K37" s="18" t="n">
        <f aca="false">K32*Рычаги!$B$32</f>
        <v>140625</v>
      </c>
      <c r="L37" s="18" t="n">
        <f aca="false">L32*Рычаги!$B$32</f>
        <v>153750</v>
      </c>
      <c r="M37" s="18" t="n">
        <f aca="false">M32*Рычаги!$B$32</f>
        <v>165000</v>
      </c>
      <c r="N37" s="18" t="n">
        <f aca="false">N32*Рычаги!$B$32</f>
        <v>178125</v>
      </c>
      <c r="O37" s="18" t="n">
        <f aca="false">O32*Рычаги!$B$32</f>
        <v>191250</v>
      </c>
      <c r="P37" s="18" t="n">
        <f aca="false">P32*Рычаги!$B$32</f>
        <v>202500</v>
      </c>
      <c r="Q37" s="18" t="n">
        <f aca="false">Q32*Рычаги!$B$32</f>
        <v>215625</v>
      </c>
      <c r="R37" s="18" t="n">
        <f aca="false">R32*Рычаги!$B$32</f>
        <v>228750</v>
      </c>
      <c r="S37" s="18" t="n">
        <f aca="false">S32*Рычаги!$B$32</f>
        <v>240000</v>
      </c>
      <c r="T37" s="18" t="n">
        <f aca="false">T32*Рычаги!$B$32</f>
        <v>253125</v>
      </c>
      <c r="U37" s="18" t="n">
        <f aca="false">U32*Рычаги!$B$32</f>
        <v>260625</v>
      </c>
      <c r="V37" s="18" t="n">
        <f aca="false">V32*Рычаги!$B$32</f>
        <v>268125</v>
      </c>
      <c r="W37" s="18" t="n">
        <f aca="false">W32*Рычаги!$B$32</f>
        <v>277500</v>
      </c>
      <c r="X37" s="18" t="n">
        <f aca="false">X32*Рычаги!$B$32</f>
        <v>285000</v>
      </c>
      <c r="Y37" s="18" t="n">
        <f aca="false">Y32*Рычаги!$B$32</f>
        <v>292500</v>
      </c>
      <c r="Z37" s="18" t="n">
        <f aca="false">Z32*Рычаги!$B$32</f>
        <v>300000</v>
      </c>
      <c r="AA37" s="18" t="n">
        <f aca="false">AA32*Рычаги!$B$32</f>
        <v>305625</v>
      </c>
      <c r="AB37" s="18" t="n">
        <f aca="false">AB32*Рычаги!$B$32</f>
        <v>309375</v>
      </c>
      <c r="AC37" s="18" t="n">
        <f aca="false">AC32*Рычаги!$B$32</f>
        <v>315000</v>
      </c>
      <c r="AD37" s="18" t="n">
        <f aca="false">AD32*Рычаги!$B$32</f>
        <v>318750</v>
      </c>
      <c r="AE37" s="18" t="n">
        <f aca="false">AE32*Рычаги!$B$32</f>
        <v>324375</v>
      </c>
      <c r="AF37" s="18" t="n">
        <f aca="false">AF32*Рычаги!$B$32</f>
        <v>328125</v>
      </c>
      <c r="AG37" s="18" t="n">
        <f aca="false">AG32*Рычаги!$B$32</f>
        <v>333750</v>
      </c>
      <c r="AH37" s="18" t="n">
        <f aca="false">AH32*Рычаги!$B$32</f>
        <v>337500</v>
      </c>
      <c r="AI37" s="18" t="n">
        <f aca="false">AI32*Рычаги!$B$32</f>
        <v>343125</v>
      </c>
      <c r="AJ37" s="18" t="n">
        <f aca="false">AJ32*Рычаги!$B$32</f>
        <v>346875</v>
      </c>
      <c r="AK37" s="18" t="n">
        <f aca="false">AK32*Рычаги!$B$32</f>
        <v>352500</v>
      </c>
      <c r="AL37" s="18" t="n">
        <f aca="false">AL32*Рычаги!$B$32</f>
        <v>356250</v>
      </c>
    </row>
    <row r="38" customFormat="false" ht="15" hidden="false" customHeight="false" outlineLevel="0" collapsed="false">
      <c r="A38" s="17" t="s">
        <v>89</v>
      </c>
      <c r="B38" s="2" t="s">
        <v>60</v>
      </c>
      <c r="C38" s="18" t="n">
        <f aca="false">SUM(C32:C37)</f>
        <v>403750</v>
      </c>
      <c r="D38" s="18" t="n">
        <f aca="false">SUM(D32:D37)</f>
        <v>697500</v>
      </c>
      <c r="E38" s="18" t="n">
        <f aca="false">SUM(E32:E37)</f>
        <v>841850</v>
      </c>
      <c r="F38" s="18" t="n">
        <f aca="false">SUM(F32:F37)</f>
        <v>937450</v>
      </c>
      <c r="G38" s="18" t="n">
        <f aca="false">SUM(G32:G37)</f>
        <v>1087125</v>
      </c>
      <c r="H38" s="18" t="n">
        <f aca="false">SUM(H32:H37)</f>
        <v>1227425</v>
      </c>
      <c r="I38" s="18" t="n">
        <f aca="false">SUM(I32:I37)</f>
        <v>1318949.98</v>
      </c>
      <c r="J38" s="18" t="n">
        <f aca="false">SUM(J32:J37)</f>
        <v>1408800.024</v>
      </c>
      <c r="K38" s="18" t="n">
        <f aca="false">SUM(K32:K37)</f>
        <v>1566690</v>
      </c>
      <c r="L38" s="18" t="n">
        <f aca="false">SUM(L32:L37)</f>
        <v>1726879.964</v>
      </c>
      <c r="M38" s="18" t="n">
        <f aca="false">SUM(M32:M37)</f>
        <v>1861395.044</v>
      </c>
      <c r="N38" s="18" t="n">
        <f aca="false">SUM(N32:N37)</f>
        <v>2027285</v>
      </c>
      <c r="O38" s="18" t="n">
        <f aca="false">SUM(O32:O37)</f>
        <v>2195486.544</v>
      </c>
      <c r="P38" s="18" t="n">
        <f aca="false">SUM(P32:P37)</f>
        <v>2319313.46</v>
      </c>
      <c r="Q38" s="18" t="n">
        <f aca="false">SUM(Q32:Q37)</f>
        <v>2509815</v>
      </c>
      <c r="R38" s="18" t="n">
        <f aca="false">SUM(R32:R37)</f>
        <v>2709043.328</v>
      </c>
      <c r="S38" s="18" t="n">
        <f aca="false">SUM(S32:S37)</f>
        <v>2902896.68</v>
      </c>
      <c r="T38" s="18" t="n">
        <f aca="false">SUM(T32:T37)</f>
        <v>3122125</v>
      </c>
      <c r="U38" s="18" t="n">
        <f aca="false">SUM(U32:U37)</f>
        <v>3134625</v>
      </c>
      <c r="V38" s="18" t="n">
        <f aca="false">SUM(V32:V37)</f>
        <v>3192125</v>
      </c>
      <c r="W38" s="18" t="n">
        <f aca="false">SUM(W32:W37)</f>
        <v>3279000</v>
      </c>
      <c r="X38" s="18" t="n">
        <f aca="false">SUM(X32:X37)</f>
        <v>3321500</v>
      </c>
      <c r="Y38" s="18" t="n">
        <f aca="false">SUM(Y32:Y37)</f>
        <v>3379000</v>
      </c>
      <c r="Z38" s="18" t="n">
        <f aca="false">SUM(Z32:Z37)</f>
        <v>3436500</v>
      </c>
      <c r="AA38" s="18" t="n">
        <f aca="false">SUM(AA32:AA37)</f>
        <v>3464625</v>
      </c>
      <c r="AB38" s="18" t="n">
        <f aca="false">SUM(AB32:AB37)</f>
        <v>3478375</v>
      </c>
      <c r="AC38" s="18" t="n">
        <f aca="false">SUM(AC32:AC37)</f>
        <v>3536500</v>
      </c>
      <c r="AD38" s="18" t="n">
        <f aca="false">SUM(AD32:AD37)</f>
        <v>3550250</v>
      </c>
      <c r="AE38" s="18" t="n">
        <f aca="false">SUM(AE32:AE37)</f>
        <v>3608375</v>
      </c>
      <c r="AF38" s="18" t="n">
        <f aca="false">SUM(AF32:AF37)</f>
        <v>3622125</v>
      </c>
      <c r="AG38" s="18" t="n">
        <f aca="false">SUM(AG32:AG37)</f>
        <v>3680250</v>
      </c>
      <c r="AH38" s="18" t="n">
        <f aca="false">SUM(AH32:AH37)</f>
        <v>3694000</v>
      </c>
      <c r="AI38" s="18" t="n">
        <f aca="false">SUM(AI32:AI37)</f>
        <v>3752125</v>
      </c>
      <c r="AJ38" s="18" t="n">
        <f aca="false">SUM(AJ32:AJ37)</f>
        <v>3765875</v>
      </c>
      <c r="AK38" s="18" t="n">
        <f aca="false">SUM(AK32:AK37)</f>
        <v>3824000</v>
      </c>
      <c r="AL38" s="18" t="n">
        <f aca="false">SUM(AL32:AL37)</f>
        <v>3837750</v>
      </c>
    </row>
    <row r="39" customFormat="false" ht="15" hidden="false" customHeight="false" outlineLevel="0" collapsed="false">
      <c r="A39" s="4" t="s">
        <v>90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customFormat="false" ht="15" hidden="false" customHeight="false" outlineLevel="0" collapsed="false">
      <c r="A40" s="5" t="s">
        <v>91</v>
      </c>
      <c r="B40" s="2" t="s">
        <v>60</v>
      </c>
      <c r="C40" s="18" t="n">
        <f aca="false">C28+C38</f>
        <v>403750</v>
      </c>
      <c r="D40" s="18" t="n">
        <f aca="false">D28+D38</f>
        <v>698700</v>
      </c>
      <c r="E40" s="18" t="n">
        <f aca="false">E28+E38</f>
        <v>864490</v>
      </c>
      <c r="F40" s="18" t="n">
        <f aca="false">F28+F38</f>
        <v>960642</v>
      </c>
      <c r="G40" s="18" t="n">
        <f aca="false">G28+G38</f>
        <v>1111109</v>
      </c>
      <c r="H40" s="18" t="n">
        <f aca="false">H28+H38</f>
        <v>1265077</v>
      </c>
      <c r="I40" s="18" t="n">
        <f aca="false">I28+I38</f>
        <v>1389567.965</v>
      </c>
      <c r="J40" s="18" t="n">
        <f aca="false">J28+J38</f>
        <v>1517460.045</v>
      </c>
      <c r="K40" s="18" t="n">
        <f aca="false">K28+K38</f>
        <v>1721805.5</v>
      </c>
      <c r="L40" s="18" t="n">
        <f aca="false">L28+L38</f>
        <v>1920343.427</v>
      </c>
      <c r="M40" s="18" t="n">
        <f aca="false">M28+M38</f>
        <v>2106291.092</v>
      </c>
      <c r="N40" s="18" t="n">
        <f aca="false">N28+N38</f>
        <v>2335085</v>
      </c>
      <c r="O40" s="18" t="n">
        <f aca="false">O28+O38</f>
        <v>2598146.471</v>
      </c>
      <c r="P40" s="18" t="n">
        <f aca="false">P28+P38</f>
        <v>2809777.047</v>
      </c>
      <c r="Q40" s="18" t="n">
        <f aca="false">Q28+Q38</f>
        <v>3125821</v>
      </c>
      <c r="R40" s="18" t="n">
        <f aca="false">R28+R38</f>
        <v>3470481.208</v>
      </c>
      <c r="S40" s="18" t="n">
        <f aca="false">S28+S38</f>
        <v>3814547.319</v>
      </c>
      <c r="T40" s="18" t="n">
        <f aca="false">T28+T38</f>
        <v>4225147.5</v>
      </c>
      <c r="U40" s="18" t="n">
        <f aca="false">U28+U38</f>
        <v>4364252.5</v>
      </c>
      <c r="V40" s="18" t="n">
        <f aca="false">V28+V38</f>
        <v>4545755</v>
      </c>
      <c r="W40" s="18" t="n">
        <f aca="false">W28+W38</f>
        <v>4754212.5</v>
      </c>
      <c r="X40" s="18" t="n">
        <f aca="false">X28+X38</f>
        <v>4916342.5</v>
      </c>
      <c r="Y40" s="18" t="n">
        <f aca="false">Y28+Y38</f>
        <v>5091380</v>
      </c>
      <c r="Z40" s="18" t="n">
        <f aca="false">Z28+Z38</f>
        <v>5260265</v>
      </c>
      <c r="AA40" s="18" t="n">
        <f aca="false">AA28+AA38</f>
        <v>5397957.5</v>
      </c>
      <c r="AB40" s="18" t="n">
        <f aca="false">AB28+AB38</f>
        <v>5519877.5</v>
      </c>
      <c r="AC40" s="18" t="n">
        <f aca="false">AC28+AC38</f>
        <v>5684587.5</v>
      </c>
      <c r="AD40" s="18" t="n">
        <f aca="false">AD28+AD38</f>
        <v>5803437.5</v>
      </c>
      <c r="AE40" s="18" t="n">
        <f aca="false">AE28+AE38</f>
        <v>5965575</v>
      </c>
      <c r="AF40" s="18" t="n">
        <f aca="false">AF28+AF38</f>
        <v>6077537.5</v>
      </c>
      <c r="AG40" s="18" t="n">
        <f aca="false">AG28+AG38</f>
        <v>6232952.5</v>
      </c>
      <c r="AH40" s="18" t="n">
        <f aca="false">AH28+AH38</f>
        <v>6342847.5</v>
      </c>
      <c r="AI40" s="18" t="n">
        <f aca="false">AI28+AI38</f>
        <v>6496337.5</v>
      </c>
      <c r="AJ40" s="18" t="n">
        <f aca="false">AJ28+AJ38</f>
        <v>6604435</v>
      </c>
      <c r="AK40" s="18" t="n">
        <f aca="false">AK28+AK38</f>
        <v>6756247.5</v>
      </c>
      <c r="AL40" s="18" t="n">
        <f aca="false">AL28+AL38</f>
        <v>6858277.5</v>
      </c>
    </row>
    <row r="41" customFormat="false" ht="15" hidden="false" customHeight="false" outlineLevel="0" collapsed="false">
      <c r="A41" s="17" t="s">
        <v>92</v>
      </c>
      <c r="B41" s="2" t="s">
        <v>60</v>
      </c>
      <c r="C41" s="18" t="n">
        <f aca="false">C29-C38</f>
        <v>-403750</v>
      </c>
      <c r="D41" s="18" t="n">
        <f aca="false">D29-D38</f>
        <v>-694700</v>
      </c>
      <c r="E41" s="18" t="n">
        <f aca="false">E29-E38</f>
        <v>-804890</v>
      </c>
      <c r="F41" s="18" t="n">
        <f aca="false">F29-F38</f>
        <v>-897362</v>
      </c>
      <c r="G41" s="18" t="n">
        <f aca="false">G29-G38</f>
        <v>-1042549</v>
      </c>
      <c r="H41" s="18" t="n">
        <f aca="false">H29-H38</f>
        <v>-1147397</v>
      </c>
      <c r="I41" s="18" t="n">
        <f aca="false">I29-I38</f>
        <v>-1172948.015</v>
      </c>
      <c r="J41" s="18" t="n">
        <f aca="false">J29-J38</f>
        <v>-1183059.975</v>
      </c>
      <c r="K41" s="18" t="n">
        <f aca="false">K29-K38</f>
        <v>-1238255.5</v>
      </c>
      <c r="L41" s="18" t="n">
        <f aca="false">L29-L38</f>
        <v>-1293340.217</v>
      </c>
      <c r="M41" s="18" t="n">
        <f aca="false">M29-M38</f>
        <v>-1288050.932</v>
      </c>
      <c r="N41" s="18" t="n">
        <f aca="false">N29-N38</f>
        <v>-1283085</v>
      </c>
      <c r="O41" s="18" t="n">
        <f aca="false">O29-O38</f>
        <v>-1217593.381</v>
      </c>
      <c r="P41" s="18" t="n">
        <f aca="false">P29-P38</f>
        <v>-1101466.757</v>
      </c>
      <c r="Q41" s="18" t="n">
        <f aca="false">Q29-Q38</f>
        <v>-973281</v>
      </c>
      <c r="R41" s="18" t="n">
        <f aca="false">R29-R38</f>
        <v>-797961.608</v>
      </c>
      <c r="S41" s="18" t="n">
        <f aca="false">S29-S38</f>
        <v>-579010.189</v>
      </c>
      <c r="T41" s="18" t="n">
        <f aca="false">T29-T38</f>
        <v>-296457.5</v>
      </c>
      <c r="U41" s="18" t="n">
        <f aca="false">U29-U38</f>
        <v>46657.5</v>
      </c>
      <c r="V41" s="18" t="n">
        <f aca="false">V29-V38</f>
        <v>336165</v>
      </c>
      <c r="W41" s="18" t="n">
        <f aca="false">W29-W38</f>
        <v>588237.5</v>
      </c>
      <c r="X41" s="18" t="n">
        <f aca="false">X29-X38</f>
        <v>878827.5</v>
      </c>
      <c r="Y41" s="18" t="n">
        <f aca="false">Y29-Y38</f>
        <v>1147340</v>
      </c>
      <c r="Z41" s="18" t="n">
        <f aca="false">Z29-Z38</f>
        <v>1400395</v>
      </c>
      <c r="AA41" s="18" t="n">
        <f aca="false">AA29-AA38</f>
        <v>1676572.5</v>
      </c>
      <c r="AB41" s="18" t="n">
        <f aca="false">AB29-AB38</f>
        <v>1962932.5</v>
      </c>
      <c r="AC41" s="18" t="n">
        <f aca="false">AC29-AC38</f>
        <v>2199362.5</v>
      </c>
      <c r="AD41" s="18" t="n">
        <f aca="false">AD29-AD38</f>
        <v>2474912.5</v>
      </c>
      <c r="AE41" s="18" t="n">
        <f aca="false">AE29-AE38</f>
        <v>2702825</v>
      </c>
      <c r="AF41" s="18" t="n">
        <f aca="false">AF29-AF38</f>
        <v>2959912.5</v>
      </c>
      <c r="AG41" s="18" t="n">
        <f aca="false">AG29-AG38</f>
        <v>3169857.5</v>
      </c>
      <c r="AH41" s="18" t="n">
        <f aca="false">AH29-AH38</f>
        <v>3419942.5</v>
      </c>
      <c r="AI41" s="18" t="n">
        <f aca="false">AI29-AI38</f>
        <v>3623312.5</v>
      </c>
      <c r="AJ41" s="18" t="n">
        <f aca="false">AJ29-AJ38</f>
        <v>3867205</v>
      </c>
      <c r="AK41" s="18" t="n">
        <f aca="false">AK29-AK38</f>
        <v>4064742.5</v>
      </c>
      <c r="AL41" s="18" t="n">
        <f aca="false">AL29-AL38</f>
        <v>4292632.5</v>
      </c>
    </row>
    <row r="42" customFormat="false" ht="15" hidden="false" customHeight="false" outlineLevel="0" collapsed="false">
      <c r="A42" s="17" t="s">
        <v>93</v>
      </c>
      <c r="B42" s="2" t="s">
        <v>75</v>
      </c>
      <c r="C42" s="18" t="n">
        <f aca="false">Рычаги!$B$34+C41</f>
        <v>49596250</v>
      </c>
      <c r="D42" s="18" t="n">
        <f aca="false">C42+D41</f>
        <v>48901550</v>
      </c>
      <c r="E42" s="18" t="n">
        <f aca="false">D42+E41</f>
        <v>48096660</v>
      </c>
      <c r="F42" s="18" t="n">
        <f aca="false">E42+F41</f>
        <v>47199298</v>
      </c>
      <c r="G42" s="18" t="n">
        <f aca="false">F42+G41</f>
        <v>46156749</v>
      </c>
      <c r="H42" s="18" t="n">
        <f aca="false">G42+H41</f>
        <v>45009352</v>
      </c>
      <c r="I42" s="18" t="n">
        <f aca="false">H42+I41</f>
        <v>43836403.985</v>
      </c>
      <c r="J42" s="18" t="n">
        <f aca="false">I42+J41</f>
        <v>42653344.01</v>
      </c>
      <c r="K42" s="18" t="n">
        <f aca="false">J42+K41</f>
        <v>41415088.51</v>
      </c>
      <c r="L42" s="18" t="n">
        <f aca="false">K42+L41</f>
        <v>40121748.293</v>
      </c>
      <c r="M42" s="18" t="n">
        <f aca="false">L42+M41</f>
        <v>38833697.361</v>
      </c>
      <c r="N42" s="18" t="n">
        <f aca="false">M42+N41</f>
        <v>37550612.361</v>
      </c>
      <c r="O42" s="18" t="n">
        <f aca="false">N42+O41</f>
        <v>36333018.98</v>
      </c>
      <c r="P42" s="18" t="n">
        <f aca="false">O42+P41</f>
        <v>35231552.223</v>
      </c>
      <c r="Q42" s="18" t="n">
        <f aca="false">P42+Q41</f>
        <v>34258271.223</v>
      </c>
      <c r="R42" s="18" t="n">
        <f aca="false">Q42+R41</f>
        <v>33460309.615</v>
      </c>
      <c r="S42" s="18" t="n">
        <f aca="false">R42+S41</f>
        <v>32881299.426</v>
      </c>
      <c r="T42" s="18" t="n">
        <f aca="false">S42+T41</f>
        <v>32584841.926</v>
      </c>
      <c r="U42" s="18" t="n">
        <f aca="false">T42+U41</f>
        <v>32631499.426</v>
      </c>
      <c r="V42" s="18" t="n">
        <f aca="false">U42+V41</f>
        <v>32967664.426</v>
      </c>
      <c r="W42" s="18" t="n">
        <f aca="false">V42+W41</f>
        <v>33555901.926</v>
      </c>
      <c r="X42" s="18" t="n">
        <f aca="false">W42+X41</f>
        <v>34434729.426</v>
      </c>
      <c r="Y42" s="18" t="n">
        <f aca="false">X42+Y41</f>
        <v>35582069.426</v>
      </c>
      <c r="Z42" s="18" t="n">
        <f aca="false">Y42+Z41</f>
        <v>36982464.426</v>
      </c>
      <c r="AA42" s="18" t="n">
        <f aca="false">Z42+AA41</f>
        <v>38659036.926</v>
      </c>
      <c r="AB42" s="18" t="n">
        <f aca="false">AA42+AB41</f>
        <v>40621969.426</v>
      </c>
      <c r="AC42" s="18" t="n">
        <f aca="false">AB42+AC41</f>
        <v>42821331.926</v>
      </c>
      <c r="AD42" s="18" t="n">
        <f aca="false">AC42+AD41</f>
        <v>45296244.426</v>
      </c>
      <c r="AE42" s="18" t="n">
        <f aca="false">AD42+AE41</f>
        <v>47999069.426</v>
      </c>
      <c r="AF42" s="18" t="n">
        <f aca="false">AE42+AF41</f>
        <v>50958981.926</v>
      </c>
      <c r="AG42" s="18" t="n">
        <f aca="false">AF42+AG41</f>
        <v>54128839.426</v>
      </c>
      <c r="AH42" s="18" t="n">
        <f aca="false">AG42+AH41</f>
        <v>57548781.926</v>
      </c>
      <c r="AI42" s="18" t="n">
        <f aca="false">AH42+AI41</f>
        <v>61172094.426</v>
      </c>
      <c r="AJ42" s="18" t="n">
        <f aca="false">AI42+AJ41</f>
        <v>65039299.426</v>
      </c>
      <c r="AK42" s="18" t="n">
        <f aca="false">AJ42+AK41</f>
        <v>69104041.926</v>
      </c>
      <c r="AL42" s="18" t="n">
        <f aca="false">AK42+AL41</f>
        <v>73396674.426</v>
      </c>
    </row>
    <row r="43" customFormat="false" ht="15" hidden="false" customHeight="false" outlineLevel="0" collapsed="false">
      <c r="A43" s="5" t="s">
        <v>94</v>
      </c>
      <c r="B43" s="2" t="s">
        <v>95</v>
      </c>
      <c r="C43" s="15" t="n">
        <f aca="false">IF(COUNTIF(C41:AL41,"&lt;0")=0,1,0)</f>
        <v>0</v>
      </c>
      <c r="D43" s="15" t="n">
        <f aca="false">IF(COUNTIF(D41:AL41,"&lt;0")=0,1,0)</f>
        <v>0</v>
      </c>
      <c r="E43" s="15" t="n">
        <f aca="false">IF(COUNTIF(E41:AL41,"&lt;0")=0,1,0)</f>
        <v>0</v>
      </c>
      <c r="F43" s="15" t="n">
        <f aca="false">IF(COUNTIF(F41:AL41,"&lt;0")=0,1,0)</f>
        <v>0</v>
      </c>
      <c r="G43" s="15" t="n">
        <f aca="false">IF(COUNTIF(G41:AL41,"&lt;0")=0,1,0)</f>
        <v>0</v>
      </c>
      <c r="H43" s="15" t="n">
        <f aca="false">IF(COUNTIF(H41:AL41,"&lt;0")=0,1,0)</f>
        <v>0</v>
      </c>
      <c r="I43" s="15" t="n">
        <f aca="false">IF(COUNTIF(I41:AL41,"&lt;0")=0,1,0)</f>
        <v>0</v>
      </c>
      <c r="J43" s="15" t="n">
        <f aca="false">IF(COUNTIF(J41:AL41,"&lt;0")=0,1,0)</f>
        <v>0</v>
      </c>
      <c r="K43" s="15" t="n">
        <f aca="false">IF(COUNTIF(K41:AL41,"&lt;0")=0,1,0)</f>
        <v>0</v>
      </c>
      <c r="L43" s="15" t="n">
        <f aca="false">IF(COUNTIF(L41:AL41,"&lt;0")=0,1,0)</f>
        <v>0</v>
      </c>
      <c r="M43" s="15" t="n">
        <f aca="false">IF(COUNTIF(M41:AL41,"&lt;0")=0,1,0)</f>
        <v>0</v>
      </c>
      <c r="N43" s="15" t="n">
        <f aca="false">IF(COUNTIF(N41:AL41,"&lt;0")=0,1,0)</f>
        <v>0</v>
      </c>
      <c r="O43" s="15" t="n">
        <f aca="false">IF(COUNTIF(O41:AL41,"&lt;0")=0,1,0)</f>
        <v>0</v>
      </c>
      <c r="P43" s="15" t="n">
        <f aca="false">IF(COUNTIF(P41:AL41,"&lt;0")=0,1,0)</f>
        <v>0</v>
      </c>
      <c r="Q43" s="15" t="n">
        <f aca="false">IF(COUNTIF(Q41:AL41,"&lt;0")=0,1,0)</f>
        <v>0</v>
      </c>
      <c r="R43" s="15" t="n">
        <f aca="false">IF(COUNTIF(R41:AL41,"&lt;0")=0,1,0)</f>
        <v>0</v>
      </c>
      <c r="S43" s="15" t="n">
        <f aca="false">IF(COUNTIF(S41:AL41,"&lt;0")=0,1,0)</f>
        <v>0</v>
      </c>
      <c r="T43" s="15" t="n">
        <f aca="false">IF(COUNTIF(T41:AL41,"&lt;0")=0,1,0)</f>
        <v>0</v>
      </c>
      <c r="U43" s="15" t="n">
        <f aca="false">IF(COUNTIF(U41:AL41,"&lt;0")=0,1,0)</f>
        <v>1</v>
      </c>
      <c r="V43" s="15" t="n">
        <f aca="false">IF(COUNTIF(V41:AL41,"&lt;0")=0,1,0)</f>
        <v>1</v>
      </c>
      <c r="W43" s="15" t="n">
        <f aca="false">IF(COUNTIF(W41:AL41,"&lt;0")=0,1,0)</f>
        <v>1</v>
      </c>
      <c r="X43" s="15" t="n">
        <f aca="false">IF(COUNTIF(X41:AL41,"&lt;0")=0,1,0)</f>
        <v>1</v>
      </c>
      <c r="Y43" s="15" t="n">
        <f aca="false">IF(COUNTIF(Y41:AL41,"&lt;0")=0,1,0)</f>
        <v>1</v>
      </c>
      <c r="Z43" s="15" t="n">
        <f aca="false">IF(COUNTIF(Z41:AL41,"&lt;0")=0,1,0)</f>
        <v>1</v>
      </c>
      <c r="AA43" s="15" t="n">
        <f aca="false">IF(COUNTIF(AA41:AL41,"&lt;0")=0,1,0)</f>
        <v>1</v>
      </c>
      <c r="AB43" s="15" t="n">
        <f aca="false">IF(COUNTIF(AB41:AL41,"&lt;0")=0,1,0)</f>
        <v>1</v>
      </c>
      <c r="AC43" s="15" t="n">
        <f aca="false">IF(COUNTIF(AC41:AL41,"&lt;0")=0,1,0)</f>
        <v>1</v>
      </c>
      <c r="AD43" s="15" t="n">
        <f aca="false">IF(COUNTIF(AD41:AL41,"&lt;0")=0,1,0)</f>
        <v>1</v>
      </c>
      <c r="AE43" s="15" t="n">
        <f aca="false">IF(COUNTIF(AE41:AL41,"&lt;0")=0,1,0)</f>
        <v>1</v>
      </c>
      <c r="AF43" s="15" t="n">
        <f aca="false">IF(COUNTIF(AF41:AL41,"&lt;0")=0,1,0)</f>
        <v>1</v>
      </c>
      <c r="AG43" s="15" t="n">
        <f aca="false">IF(COUNTIF(AG41:AL41,"&lt;0")=0,1,0)</f>
        <v>1</v>
      </c>
      <c r="AH43" s="15" t="n">
        <f aca="false">IF(COUNTIF(AH41:AL41,"&lt;0")=0,1,0)</f>
        <v>1</v>
      </c>
      <c r="AI43" s="15" t="n">
        <f aca="false">IF(COUNTIF(AI41:AL41,"&lt;0")=0,1,0)</f>
        <v>1</v>
      </c>
      <c r="AJ43" s="15" t="n">
        <f aca="false">IF(COUNTIF(AJ41:AL41,"&lt;0")=0,1,0)</f>
        <v>1</v>
      </c>
      <c r="AK43" s="15" t="n">
        <f aca="false">IF(COUNTIF(AK41:AL41,"&lt;0")=0,1,0)</f>
        <v>1</v>
      </c>
      <c r="AL43" s="15" t="n">
        <f aca="false">IF(COUNTIF(AL41:AL41,"&lt;0")=0,1,0)</f>
        <v>1</v>
      </c>
    </row>
    <row r="44" customFormat="false" ht="15" hidden="false" customHeight="false" outlineLevel="0" collapsed="false">
      <c r="A44" s="4" t="s">
        <v>96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customFormat="false" ht="15" hidden="false" customHeight="false" outlineLevel="0" collapsed="false">
      <c r="A45" s="17" t="s">
        <v>97</v>
      </c>
      <c r="B45" s="2" t="s">
        <v>75</v>
      </c>
      <c r="C45" s="18" t="n">
        <f aca="false">C25*Рычаги!$B$36+C22*12*Рычаги!$B$37+C15*12*Рычаги!$B$38+SUM(C17:C17)*Рычаги!$B$39</f>
        <v>0</v>
      </c>
      <c r="D45" s="18" t="n">
        <f aca="false">D25*Рычаги!$B$36+D22*12*Рычаги!$B$37+D15*12*Рычаги!$B$38+SUM(C17:D17)*Рычаги!$B$39</f>
        <v>0</v>
      </c>
      <c r="E45" s="18" t="n">
        <f aca="false">E25*Рычаги!$B$36+E22*12*Рычаги!$B$37+E15*12*Рычаги!$B$38+SUM(C17:E17)*Рычаги!$B$39</f>
        <v>267000</v>
      </c>
      <c r="F45" s="18" t="n">
        <f aca="false">F25*Рычаги!$B$36+F22*12*Рычаги!$B$37+F15*12*Рычаги!$B$38+SUM(C17:F17)*Рычаги!$B$39</f>
        <v>783600</v>
      </c>
      <c r="G45" s="18" t="n">
        <f aca="false">G25*Рычаги!$B$36+G22*12*Рычаги!$B$37+G15*12*Рычаги!$B$38+SUM(C17:G17)*Рычаги!$B$39</f>
        <v>1492200</v>
      </c>
      <c r="H45" s="18" t="n">
        <f aca="false">H25*Рычаги!$B$36+H22*12*Рычаги!$B$37+H15*12*Рычаги!$B$38+SUM(C17:H17)*Рычаги!$B$39</f>
        <v>8421600</v>
      </c>
      <c r="I45" s="18" t="n">
        <f aca="false">I25*Рычаги!$B$36+I22*12*Рычаги!$B$37+I15*12*Рычаги!$B$38+SUM(C17:I17)*Рычаги!$B$39</f>
        <v>14444394</v>
      </c>
      <c r="J45" s="18" t="n">
        <f aca="false">J25*Рычаги!$B$36+J22*12*Рычаги!$B$37+J15*12*Рычаги!$B$38+SUM(C17:J17)*Рычаги!$B$39</f>
        <v>22803008.4</v>
      </c>
      <c r="K45" s="18" t="n">
        <f aca="false">K25*Рычаги!$B$36+K22*12*Рычаги!$B$37+K15*12*Рычаги!$B$38+SUM(C17:K17)*Рычаги!$B$39</f>
        <v>34221240</v>
      </c>
      <c r="L45" s="18" t="n">
        <f aca="false">L25*Рычаги!$B$36+L22*12*Рычаги!$B$37+L15*12*Рычаги!$B$38+SUM(C17:L17)*Рычаги!$B$39</f>
        <v>50238025.2</v>
      </c>
      <c r="M45" s="18" t="n">
        <f aca="false">M25*Рычаги!$B$36+M22*12*Рычаги!$B$37+M15*12*Рычаги!$B$38+SUM(C17:M17)*Рычаги!$B$39</f>
        <v>71328619.2</v>
      </c>
      <c r="N45" s="18" t="n">
        <f aca="false">N25*Рычаги!$B$36+N22*12*Рычаги!$B$37+N15*12*Рычаги!$B$38+SUM(C17:N17)*Рычаги!$B$39</f>
        <v>96915000</v>
      </c>
      <c r="O45" s="18" t="n">
        <f aca="false">O25*Рычаги!$B$36+O22*12*Рычаги!$B$37+O15*12*Рычаги!$B$38+SUM(D17:O17)*Рычаги!$B$39</f>
        <v>127510930.8</v>
      </c>
      <c r="P45" s="18" t="n">
        <f aca="false">P25*Рычаги!$B$36+P22*12*Рычаги!$B$37+P15*12*Рычаги!$B$38+SUM(E17:P17)*Рычаги!$B$39</f>
        <v>163605994.8</v>
      </c>
      <c r="Q45" s="18" t="n">
        <f aca="false">Q25*Рычаги!$B$36+Q22*12*Рычаги!$B$37+Q15*12*Рычаги!$B$38+SUM(F17:Q17)*Рычаги!$B$39</f>
        <v>207304800</v>
      </c>
      <c r="R45" s="18" t="n">
        <f aca="false">R25*Рычаги!$B$36+R22*12*Рычаги!$B$37+R15*12*Рычаги!$B$38+SUM(G17:R17)*Рычаги!$B$39</f>
        <v>258349152</v>
      </c>
      <c r="S45" s="18" t="n">
        <f aca="false">S25*Рычаги!$B$36+S22*12*Рычаги!$B$37+S15*12*Рычаги!$B$38+SUM(H17:S17)*Рычаги!$B$39</f>
        <v>318884055.6</v>
      </c>
      <c r="T45" s="18" t="n">
        <f aca="false">T25*Рычаги!$B$36+T22*12*Рычаги!$B$37+T15*12*Рычаги!$B$38+SUM(I17:T17)*Рычаги!$B$39</f>
        <v>387570120</v>
      </c>
      <c r="U45" s="18" t="n">
        <f aca="false">U25*Рычаги!$B$36+U22*12*Рычаги!$B$37+U15*12*Рычаги!$B$38+SUM(J17:U17)*Рычаги!$B$39</f>
        <v>437590680</v>
      </c>
      <c r="V45" s="18" t="n">
        <f aca="false">V25*Рычаги!$B$36+V22*12*Рычаги!$B$37+V15*12*Рычаги!$B$38+SUM(K17:V17)*Рычаги!$B$39</f>
        <v>486854160</v>
      </c>
      <c r="W45" s="18" t="n">
        <f aca="false">W25*Рычаги!$B$36+W22*12*Рычаги!$B$37+W15*12*Рычаги!$B$38+SUM(L17:W17)*Рычаги!$B$39</f>
        <v>535395600</v>
      </c>
      <c r="X45" s="18" t="n">
        <f aca="false">X25*Рычаги!$B$36+X22*12*Рычаги!$B$37+X15*12*Рычаги!$B$38+SUM(M17:X17)*Рычаги!$B$39</f>
        <v>583562160</v>
      </c>
      <c r="Y45" s="18" t="n">
        <f aca="false">Y25*Рычаги!$B$36+Y22*12*Рычаги!$B$37+Y15*12*Рычаги!$B$38+SUM(N17:Y17)*Рычаги!$B$39</f>
        <v>631144560</v>
      </c>
      <c r="Z45" s="18" t="n">
        <f aca="false">Z25*Рычаги!$B$36+Z22*12*Рычаги!$B$37+Z15*12*Рычаги!$B$38+SUM(O17:Z17)*Рычаги!$B$39</f>
        <v>676609680</v>
      </c>
      <c r="AA45" s="18" t="n">
        <f aca="false">AA25*Рычаги!$B$36+AA22*12*Рычаги!$B$37+AA15*12*Рычаги!$B$38+SUM(P17:AA17)*Рычаги!$B$39</f>
        <v>721468440</v>
      </c>
      <c r="AB45" s="18" t="n">
        <f aca="false">AB25*Рычаги!$B$36+AB22*12*Рычаги!$B$37+AB15*12*Рычаги!$B$38+SUM(Q17:AB17)*Рычаги!$B$39</f>
        <v>766058880</v>
      </c>
      <c r="AC45" s="18" t="n">
        <f aca="false">AC25*Рычаги!$B$36+AC22*12*Рычаги!$B$37+AC15*12*Рычаги!$B$38+SUM(R17:AC17)*Рычаги!$B$39</f>
        <v>810087600</v>
      </c>
      <c r="AD45" s="18" t="n">
        <f aca="false">AD25*Рычаги!$B$36+AD22*12*Рычаги!$B$37+AD15*12*Рычаги!$B$38+SUM(S17:AD17)*Рычаги!$B$39</f>
        <v>853573800</v>
      </c>
      <c r="AE45" s="18" t="n">
        <f aca="false">AE25*Рычаги!$B$36+AE22*12*Рычаги!$B$37+AE15*12*Рычаги!$B$38+SUM(T17:AE17)*Рычаги!$B$39</f>
        <v>896851200</v>
      </c>
      <c r="AF45" s="18" t="n">
        <f aca="false">AF25*Рычаги!$B$36+AF22*12*Рычаги!$B$37+AF15*12*Рычаги!$B$38+SUM(U17:AF17)*Рычаги!$B$39</f>
        <v>937821600</v>
      </c>
      <c r="AG45" s="18" t="n">
        <f aca="false">AG25*Рычаги!$B$36+AG22*12*Рычаги!$B$37+AG15*12*Рычаги!$B$38+SUM(V17:AG17)*Рычаги!$B$39</f>
        <v>978614880</v>
      </c>
      <c r="AH45" s="18" t="n">
        <f aca="false">AH25*Рычаги!$B$36+AH22*12*Рычаги!$B$37+AH15*12*Рычаги!$B$38+SUM(W17:AH17)*Рычаги!$B$39</f>
        <v>1019005920</v>
      </c>
      <c r="AI45" s="18" t="n">
        <f aca="false">AI25*Рычаги!$B$36+AI22*12*Рычаги!$B$37+AI15*12*Рычаги!$B$38+SUM(X17:AI17)*Рычаги!$B$39</f>
        <v>1059247200</v>
      </c>
      <c r="AJ45" s="18" t="n">
        <f aca="false">AJ25*Рычаги!$B$36+AJ22*12*Рычаги!$B$37+AJ15*12*Рычаги!$B$38+SUM(Y17:AJ17)*Рычаги!$B$39</f>
        <v>1099110720</v>
      </c>
      <c r="AK45" s="18" t="n">
        <f aca="false">AK25*Рычаги!$B$36+AK22*12*Рычаги!$B$37+AK15*12*Рычаги!$B$38+SUM(Z17:AK17)*Рычаги!$B$39</f>
        <v>1138847520</v>
      </c>
      <c r="AL45" s="18" t="n">
        <f aca="false">AL25*Рычаги!$B$36+AL22*12*Рычаги!$B$37+AL15*12*Рычаги!$B$38+SUM(AA17:AL17)*Рычаги!$B$39</f>
        <v>1176427680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75</v>
      </c>
      <c r="B4" s="3" t="s">
        <v>51</v>
      </c>
      <c r="C4" s="19" t="s">
        <v>52</v>
      </c>
      <c r="D4" s="19" t="s">
        <v>53</v>
      </c>
    </row>
    <row r="5" customFormat="false" ht="15" hidden="false" customHeight="false" outlineLevel="0" collapsed="false">
      <c r="A5" s="5" t="s">
        <v>100</v>
      </c>
      <c r="B5" s="20" t="n">
        <f aca="false">SUM(Модель!C10:N10)</f>
        <v>1863833.39</v>
      </c>
      <c r="C5" s="20" t="n">
        <f aca="false">SUM(Модель!O10:Z10)</f>
        <v>29327500.11</v>
      </c>
      <c r="D5" s="20" t="n">
        <f aca="false">SUM(Модель!AA10:AL10)</f>
        <v>69585000</v>
      </c>
    </row>
    <row r="6" customFormat="false" ht="15" hidden="false" customHeight="false" outlineLevel="0" collapsed="false">
      <c r="A6" s="5" t="s">
        <v>101</v>
      </c>
      <c r="B6" s="20" t="n">
        <f aca="false">SUM(Модель!C15:N15)</f>
        <v>204060</v>
      </c>
      <c r="C6" s="20" t="n">
        <f aca="false">SUM(Модель!O15:Z15)</f>
        <v>7393760</v>
      </c>
      <c r="D6" s="20" t="n">
        <f aca="false">SUM(Модель!AA15:AL15)</f>
        <v>17649280</v>
      </c>
    </row>
    <row r="7" customFormat="false" ht="15" hidden="false" customHeight="false" outlineLevel="0" collapsed="false">
      <c r="A7" s="5" t="s">
        <v>102</v>
      </c>
      <c r="B7" s="20" t="n">
        <f aca="false">SUM(Модель!C17:N17)</f>
        <v>1250000</v>
      </c>
      <c r="C7" s="20" t="n">
        <f aca="false">SUM(Модель!O17:Z17)</f>
        <v>4300000</v>
      </c>
      <c r="D7" s="20" t="n">
        <f aca="false">SUM(Модель!AA17:AL17)</f>
        <v>4800000</v>
      </c>
    </row>
    <row r="8" customFormat="false" ht="15" hidden="false" customHeight="false" outlineLevel="0" collapsed="false">
      <c r="A8" s="5" t="s">
        <v>103</v>
      </c>
      <c r="B8" s="20" t="n">
        <f aca="false">SUM(Модель!C22:N22)</f>
        <v>527040</v>
      </c>
      <c r="C8" s="20" t="n">
        <f aca="false">SUM(Модель!O22:Z22)</f>
        <v>7386720</v>
      </c>
      <c r="D8" s="20" t="n">
        <f aca="false">SUM(Модель!AA22:AL22)</f>
        <v>18120000</v>
      </c>
    </row>
    <row r="9" customFormat="false" ht="15" hidden="false" customHeight="false" outlineLevel="0" collapsed="false">
      <c r="A9" s="17" t="s">
        <v>104</v>
      </c>
      <c r="B9" s="20" t="n">
        <f aca="false">SUM(Модель!C24:N24)</f>
        <v>3844933.39</v>
      </c>
      <c r="C9" s="20" t="n">
        <f aca="false">SUM(Модель!O24:Z24)</f>
        <v>48407980.11</v>
      </c>
      <c r="D9" s="20" t="n">
        <f aca="false">SUM(Модель!AA24:AL24)</f>
        <v>110154280</v>
      </c>
    </row>
    <row r="10" customFormat="false" ht="15" hidden="false" customHeight="false" outlineLevel="0" collapsed="false">
      <c r="A10" s="5" t="s">
        <v>78</v>
      </c>
      <c r="B10" s="20" t="n">
        <f aca="false">SUM(Модель!C28:N28)</f>
        <v>1189221.017</v>
      </c>
      <c r="C10" s="20" t="n">
        <f aca="false">SUM(Модель!O28:Z28)</f>
        <v>13474698.033</v>
      </c>
      <c r="D10" s="20" t="n">
        <f aca="false">SUM(Модель!AA28:AL28)</f>
        <v>29925820</v>
      </c>
    </row>
    <row r="11" customFormat="false" ht="15" hidden="false" customHeight="false" outlineLevel="0" collapsed="false">
      <c r="A11" s="17" t="s">
        <v>79</v>
      </c>
      <c r="B11" s="20" t="n">
        <f aca="false">SUM(Модель!C29:N29)</f>
        <v>2655712.373</v>
      </c>
      <c r="C11" s="20" t="n">
        <f aca="false">SUM(Модель!O29:Z29)</f>
        <v>34933282.077</v>
      </c>
      <c r="D11" s="20" t="n">
        <f aca="false">SUM(Модель!AA29:AL29)</f>
        <v>80228460</v>
      </c>
    </row>
    <row r="12" customFormat="false" ht="15" hidden="false" customHeight="false" outlineLevel="0" collapsed="false">
      <c r="A12" s="5" t="s">
        <v>83</v>
      </c>
      <c r="B12" s="20" t="n">
        <f aca="false">SUM(Модель!C32:N32)</f>
        <v>8375000</v>
      </c>
      <c r="C12" s="20" t="n">
        <f aca="false">SUM(Модель!O32:Z32)</f>
        <v>20100000</v>
      </c>
      <c r="D12" s="20" t="n">
        <f aca="false">SUM(Модель!AA32:AL32)</f>
        <v>26475000</v>
      </c>
    </row>
    <row r="13" customFormat="false" ht="15" hidden="false" customHeight="false" outlineLevel="0" collapsed="false">
      <c r="A13" s="5" t="s">
        <v>84</v>
      </c>
      <c r="B13" s="20" t="n">
        <f aca="false">SUM(Модель!C33:N33)</f>
        <v>1275000</v>
      </c>
      <c r="C13" s="20" t="n">
        <f aca="false">SUM(Модель!O33:Z33)</f>
        <v>975000</v>
      </c>
      <c r="D13" s="20" t="n">
        <f aca="false">SUM(Модель!AA33:AL33)</f>
        <v>450000</v>
      </c>
    </row>
    <row r="14" customFormat="false" ht="15" hidden="false" customHeight="false" outlineLevel="0" collapsed="false">
      <c r="A14" s="5" t="s">
        <v>85</v>
      </c>
      <c r="B14" s="20" t="n">
        <f aca="false">SUM(Модель!C34:N34)</f>
        <v>531000.012</v>
      </c>
      <c r="C14" s="20" t="n">
        <f aca="false">SUM(Модель!O34:Z34)</f>
        <v>3921000.012</v>
      </c>
      <c r="D14" s="20" t="n">
        <f aca="false">SUM(Модель!AA34:AL34)</f>
        <v>4536000</v>
      </c>
    </row>
    <row r="15" customFormat="false" ht="15" hidden="false" customHeight="false" outlineLevel="0" collapsed="false">
      <c r="A15" s="5" t="s">
        <v>86</v>
      </c>
      <c r="B15" s="20" t="n">
        <f aca="false">SUM(Модель!C35:N35)</f>
        <v>547850</v>
      </c>
      <c r="C15" s="20" t="n">
        <f aca="false">SUM(Модель!O35:Z35)</f>
        <v>4370430</v>
      </c>
      <c r="D15" s="20" t="n">
        <f aca="false">SUM(Модель!AA35:AL35)</f>
        <v>5262000</v>
      </c>
    </row>
    <row r="16" customFormat="false" ht="15" hidden="false" customHeight="false" outlineLevel="0" collapsed="false">
      <c r="A16" s="5" t="s">
        <v>87</v>
      </c>
      <c r="B16" s="20" t="n">
        <f aca="false">SUM(Модель!C36:N36)</f>
        <v>3120000</v>
      </c>
      <c r="C16" s="20" t="n">
        <f aca="false">SUM(Модель!O36:Z36)</f>
        <v>3120000</v>
      </c>
      <c r="D16" s="20" t="n">
        <f aca="false">SUM(Модель!AA36:AL36)</f>
        <v>3120000</v>
      </c>
    </row>
    <row r="17" customFormat="false" ht="15" hidden="false" customHeight="false" outlineLevel="0" collapsed="false">
      <c r="A17" s="5" t="s">
        <v>88</v>
      </c>
      <c r="B17" s="20" t="n">
        <f aca="false">SUM(Модель!C37:N37)</f>
        <v>1256250</v>
      </c>
      <c r="C17" s="20" t="n">
        <f aca="false">SUM(Модель!O37:Z37)</f>
        <v>3015000</v>
      </c>
      <c r="D17" s="20" t="n">
        <f aca="false">SUM(Модель!AA37:AL37)</f>
        <v>3971250</v>
      </c>
    </row>
    <row r="18" customFormat="false" ht="15" hidden="false" customHeight="false" outlineLevel="0" collapsed="false">
      <c r="A18" s="17" t="s">
        <v>89</v>
      </c>
      <c r="B18" s="20" t="n">
        <f aca="false">SUM(Модель!C38:N38)</f>
        <v>15105100.012</v>
      </c>
      <c r="C18" s="20" t="n">
        <f aca="false">SUM(Модель!O38:Z38)</f>
        <v>35501430.012</v>
      </c>
      <c r="D18" s="20" t="n">
        <f aca="false">SUM(Модель!AA38:AL38)</f>
        <v>43814250</v>
      </c>
    </row>
    <row r="19" customFormat="false" ht="15" hidden="false" customHeight="false" outlineLevel="0" collapsed="false">
      <c r="A19" s="17" t="s">
        <v>92</v>
      </c>
      <c r="B19" s="20" t="n">
        <f aca="false">SUM(Модель!C41:N41)</f>
        <v>-12449387.639</v>
      </c>
      <c r="C19" s="20" t="n">
        <f aca="false">SUM(Модель!O41:Z41)</f>
        <v>-568147.935</v>
      </c>
      <c r="D19" s="20" t="n">
        <f aca="false">SUM(Модель!AA41:AL41)</f>
        <v>36414210</v>
      </c>
    </row>
    <row r="20" customFormat="false" ht="15" hidden="false" customHeight="false" outlineLevel="0" collapsed="false">
      <c r="A20" s="17" t="s">
        <v>105</v>
      </c>
      <c r="B20" s="20" t="n">
        <f aca="false">Модель!N42</f>
        <v>37550612.361</v>
      </c>
      <c r="C20" s="20" t="n">
        <f aca="false">Модель!Z42</f>
        <v>36982464.426</v>
      </c>
      <c r="D20" s="20" t="n">
        <f aca="false">Модель!AL42</f>
        <v>73396674.426</v>
      </c>
    </row>
    <row r="21" customFormat="false" ht="15" hidden="false" customHeight="false" outlineLevel="0" collapsed="false">
      <c r="A21" s="5" t="s">
        <v>106</v>
      </c>
      <c r="B21" s="21" t="n">
        <f aca="false">IF(B9=0,0,B11/B9)</f>
        <v>0.690704390330153</v>
      </c>
      <c r="C21" s="21" t="n">
        <f aca="false">IF(C9=0,0,C11/C9)</f>
        <v>0.721643043101969</v>
      </c>
      <c r="D21" s="21" t="n">
        <f aca="false">IF(D9=0,0,D11/D9)</f>
        <v>0.728328123065214</v>
      </c>
    </row>
    <row r="22" customFormat="false" ht="15" hidden="false" customHeight="false" outlineLevel="0" collapsed="false">
      <c r="A22" s="5" t="s">
        <v>107</v>
      </c>
      <c r="B22" s="21" t="n">
        <f aca="false">IF(B9=0,0,B19/B9)</f>
        <v>-3.23786822195117</v>
      </c>
      <c r="C22" s="21" t="n">
        <f aca="false">IF(C9=0,0,C19/C9)</f>
        <v>-0.0117366585779652</v>
      </c>
      <c r="D22" s="21" t="n">
        <f aca="false">IF(D9=0,0,D19/D9)</f>
        <v>0.330574626787084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54</v>
      </c>
      <c r="B4" s="3" t="s">
        <v>110</v>
      </c>
      <c r="C4" s="19" t="s">
        <v>111</v>
      </c>
      <c r="D4" s="19" t="s">
        <v>112</v>
      </c>
      <c r="E4" s="19" t="s">
        <v>113</v>
      </c>
    </row>
    <row r="5" customFormat="false" ht="15" hidden="false" customHeight="false" outlineLevel="0" collapsed="false">
      <c r="A5" s="22" t="n">
        <v>12</v>
      </c>
      <c r="B5" s="20" t="n">
        <f aca="false">Модель!N26</f>
        <v>10224000</v>
      </c>
      <c r="C5" s="20" t="n">
        <f aca="false">Модель!N45</f>
        <v>96915000</v>
      </c>
      <c r="D5" s="23" t="n">
        <f aca="false">IF(B5=0,0,1000000000/B5)</f>
        <v>97.8090766823161</v>
      </c>
      <c r="E5" s="21" t="n">
        <f aca="false">C5/1000000000</f>
        <v>0.096915</v>
      </c>
    </row>
    <row r="6" customFormat="false" ht="15" hidden="false" customHeight="false" outlineLevel="0" collapsed="false">
      <c r="A6" s="22" t="n">
        <v>18</v>
      </c>
      <c r="B6" s="20" t="n">
        <f aca="false">Модель!T26</f>
        <v>42344280</v>
      </c>
      <c r="C6" s="20" t="n">
        <f aca="false">Модель!T45</f>
        <v>387570120</v>
      </c>
      <c r="D6" s="23" t="n">
        <f aca="false">IF(B6=0,0,1000000000/B6)</f>
        <v>23.6159405709579</v>
      </c>
      <c r="E6" s="21" t="n">
        <f aca="false">C6/1000000000</f>
        <v>0.38757012</v>
      </c>
    </row>
    <row r="7" customFormat="false" ht="15" hidden="false" customHeight="false" outlineLevel="0" collapsed="false">
      <c r="A7" s="22" t="n">
        <v>24</v>
      </c>
      <c r="B7" s="20" t="n">
        <f aca="false">Модель!Z26</f>
        <v>75127920</v>
      </c>
      <c r="C7" s="20" t="n">
        <f aca="false">Модель!Z45</f>
        <v>676609680</v>
      </c>
      <c r="D7" s="23" t="n">
        <f aca="false">IF(B7=0,0,1000000000/B7)</f>
        <v>13.3106307215746</v>
      </c>
      <c r="E7" s="21" t="n">
        <f aca="false">C7/1000000000</f>
        <v>0.67660968</v>
      </c>
    </row>
    <row r="8" customFormat="false" ht="15" hidden="false" customHeight="false" outlineLevel="0" collapsed="false">
      <c r="A8" s="22" t="n">
        <v>30</v>
      </c>
      <c r="B8" s="20" t="n">
        <f aca="false">Модель!AF26</f>
        <v>103649400</v>
      </c>
      <c r="C8" s="20" t="n">
        <f aca="false">Модель!AF45</f>
        <v>937821600</v>
      </c>
      <c r="D8" s="23" t="n">
        <f aca="false">IF(B8=0,0,1000000000/B8)</f>
        <v>9.64790920159692</v>
      </c>
      <c r="E8" s="21" t="n">
        <f aca="false">C8/1000000000</f>
        <v>0.9378216</v>
      </c>
    </row>
    <row r="9" customFormat="false" ht="15" hidden="false" customHeight="false" outlineLevel="0" collapsed="false">
      <c r="A9" s="22" t="n">
        <v>36</v>
      </c>
      <c r="B9" s="20" t="n">
        <f aca="false">Модель!AL26</f>
        <v>129010920</v>
      </c>
      <c r="C9" s="20" t="n">
        <f aca="false">Модель!AL45</f>
        <v>1176427680</v>
      </c>
      <c r="D9" s="23" t="n">
        <f aca="false">IF(B9=0,0,1000000000/B9)</f>
        <v>7.75128182947614</v>
      </c>
      <c r="E9" s="21" t="n">
        <f aca="false">C9/1000000000</f>
        <v>1.17642768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</cols>
  <sheetData>
    <row r="1" customFormat="false" ht="16.1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3" t="s">
        <v>116</v>
      </c>
      <c r="B4" s="3" t="s">
        <v>117</v>
      </c>
      <c r="C4" s="19" t="s">
        <v>118</v>
      </c>
      <c r="D4" s="19" t="s">
        <v>119</v>
      </c>
    </row>
    <row r="5" customFormat="false" ht="15" hidden="false" customHeight="false" outlineLevel="0" collapsed="false">
      <c r="A5" s="4" t="s">
        <v>120</v>
      </c>
    </row>
    <row r="6" customFormat="false" ht="15" hidden="false" customHeight="false" outlineLevel="0" collapsed="false">
      <c r="A6" s="5" t="s">
        <v>121</v>
      </c>
      <c r="C6" s="24" t="n">
        <f aca="false">IFERROR(MATCH(1,Модель!C43:AL43,0),"нет за 36 мес.")</f>
        <v>19</v>
      </c>
    </row>
    <row r="7" customFormat="false" ht="15" hidden="false" customHeight="false" outlineLevel="0" collapsed="false">
      <c r="A7" s="5" t="s">
        <v>122</v>
      </c>
      <c r="C7" s="20" t="n">
        <f aca="false">MIN(Модель!C42:AL42)</f>
        <v>32584841.926</v>
      </c>
    </row>
    <row r="8" customFormat="false" ht="15" hidden="false" customHeight="false" outlineLevel="0" collapsed="false">
      <c r="A8" s="5" t="s">
        <v>123</v>
      </c>
      <c r="C8" s="24" t="n">
        <f aca="false">MATCH(MIN(Модель!C42:AL42),Модель!C42:AL42,0)</f>
        <v>18</v>
      </c>
    </row>
    <row r="9" customFormat="false" ht="15" hidden="false" customHeight="false" outlineLevel="0" collapsed="false">
      <c r="A9" s="5" t="s">
        <v>124</v>
      </c>
      <c r="C9" s="20" t="n">
        <f aca="false">Модель!AL42</f>
        <v>73396674.426</v>
      </c>
    </row>
    <row r="10" customFormat="false" ht="15" hidden="false" customHeight="false" outlineLevel="0" collapsed="false">
      <c r="A10" s="5" t="s">
        <v>125</v>
      </c>
      <c r="C10" s="20" t="n">
        <f aca="false">Модель!AL45</f>
        <v>1176427680</v>
      </c>
    </row>
    <row r="12" customFormat="false" ht="15" hidden="false" customHeight="false" outlineLevel="0" collapsed="false">
      <c r="A12" s="4" t="s">
        <v>126</v>
      </c>
    </row>
    <row r="13" customFormat="false" ht="15" hidden="false" customHeight="false" outlineLevel="0" collapsed="false">
      <c r="A13" s="25" t="s">
        <v>110</v>
      </c>
      <c r="B13" s="7" t="n">
        <v>42000000</v>
      </c>
      <c r="C13" s="26" t="n">
        <f aca="false">Модель!T26</f>
        <v>42344280</v>
      </c>
      <c r="D13" s="27" t="str">
        <f aca="false">IF(ABS(C13-B13)&lt;=1500000,"да","НЕТ")</f>
        <v>да</v>
      </c>
    </row>
    <row r="14" customFormat="false" ht="15" hidden="false" customHeight="false" outlineLevel="0" collapsed="false">
      <c r="A14" s="25" t="s">
        <v>127</v>
      </c>
      <c r="B14" s="7" t="n">
        <v>3600000</v>
      </c>
      <c r="C14" s="26" t="n">
        <f aca="false">Модель!T24</f>
        <v>3928690</v>
      </c>
      <c r="D14" s="27" t="str">
        <f aca="false">IF(ABS(C14-B14)&lt;=400000,"да","НЕТ")</f>
        <v>да</v>
      </c>
    </row>
    <row r="15" customFormat="false" ht="15" hidden="false" customHeight="false" outlineLevel="0" collapsed="false">
      <c r="A15" s="25" t="s">
        <v>128</v>
      </c>
      <c r="B15" s="7" t="n">
        <v>4000000</v>
      </c>
      <c r="C15" s="26" t="n">
        <f aca="false">Модель!T40</f>
        <v>4225147.5</v>
      </c>
      <c r="D15" s="27" t="str">
        <f aca="false">IF(ABS(C15-B15)&lt;=400000,"да","НЕТ")</f>
        <v>да</v>
      </c>
    </row>
    <row r="16" customFormat="false" ht="15" hidden="false" customHeight="false" outlineLevel="0" collapsed="false">
      <c r="A16" s="25" t="s">
        <v>93</v>
      </c>
      <c r="B16" s="7" t="n">
        <v>21000000</v>
      </c>
      <c r="C16" s="26" t="n">
        <f aca="false">Модель!T42</f>
        <v>32584841.926</v>
      </c>
      <c r="D16" s="27" t="str">
        <f aca="false">IF(ABS(C16-B16)&lt;=2000000,"да","НЕТ")</f>
        <v>НЕТ</v>
      </c>
    </row>
    <row r="17" customFormat="false" ht="15" hidden="false" customHeight="false" outlineLevel="0" collapsed="false">
      <c r="A17" s="25" t="s">
        <v>129</v>
      </c>
      <c r="B17" s="28" t="n">
        <v>157</v>
      </c>
      <c r="C17" s="29" t="n">
        <f aca="false">Модель!T7</f>
        <v>159</v>
      </c>
      <c r="D17" s="27" t="str">
        <f aca="false">IF(ABS(C17-B17)&lt;=5,"да","НЕТ")</f>
        <v>да</v>
      </c>
    </row>
    <row r="18" customFormat="false" ht="15" hidden="false" customHeight="false" outlineLevel="0" collapsed="false">
      <c r="A18" s="25" t="s">
        <v>130</v>
      </c>
      <c r="B18" s="28" t="n">
        <v>256</v>
      </c>
      <c r="C18" s="29" t="n">
        <f aca="false">Модель!T20</f>
        <v>292</v>
      </c>
      <c r="D18" s="27" t="str">
        <f aca="false">IF(ABS(C18-B18)&lt;=10,"да","НЕТ")</f>
        <v>НЕТ</v>
      </c>
    </row>
    <row r="19" customFormat="false" ht="15" hidden="false" customHeight="false" outlineLevel="0" collapsed="false">
      <c r="A19" s="25" t="s">
        <v>131</v>
      </c>
      <c r="B19" s="28" t="n">
        <v>63500</v>
      </c>
      <c r="C19" s="29" t="n">
        <f aca="false">Модель!T14</f>
        <v>55969</v>
      </c>
      <c r="D19" s="27" t="str">
        <f aca="false">IF(ABS(C19-B19)&lt;=2000,"да","НЕТ")</f>
        <v>НЕТ</v>
      </c>
    </row>
    <row r="20" customFormat="false" ht="15" hidden="false" customHeight="false" outlineLevel="0" collapsed="false">
      <c r="A20" s="25" t="s">
        <v>81</v>
      </c>
      <c r="B20" s="28" t="n">
        <v>135</v>
      </c>
      <c r="C20" s="29" t="n">
        <f aca="false">Модель!T31</f>
        <v>135</v>
      </c>
      <c r="D20" s="27" t="str">
        <f aca="false">IF(ABS(C20-B20)&lt;=5,"да","НЕТ")</f>
        <v>да</v>
      </c>
    </row>
    <row r="21" customFormat="false" ht="15" hidden="false" customHeight="false" outlineLevel="0" collapsed="false">
      <c r="A21" s="25" t="s">
        <v>132</v>
      </c>
      <c r="B21" s="7" t="n">
        <v>3710000</v>
      </c>
      <c r="C21" s="26" t="n">
        <f aca="false">SUM(Модель!C40:E40)</f>
        <v>1966940</v>
      </c>
      <c r="D21" s="27" t="str">
        <f aca="false">IF(ABS(C21-B21)&lt;=556500,"да","НЕТ")</f>
        <v>НЕТ</v>
      </c>
    </row>
    <row r="22" customFormat="false" ht="15" hidden="false" customHeight="false" outlineLevel="0" collapsed="false">
      <c r="A22" s="25" t="s">
        <v>133</v>
      </c>
      <c r="B22" s="7" t="n">
        <v>5700000</v>
      </c>
      <c r="C22" s="26" t="n">
        <f aca="false">SUM(Модель!F40:H40)</f>
        <v>3336828</v>
      </c>
      <c r="D22" s="27" t="str">
        <f aca="false">IF(ABS(C22-B22)&lt;=855000,"да","НЕТ")</f>
        <v>НЕТ</v>
      </c>
    </row>
    <row r="23" customFormat="false" ht="15" hidden="false" customHeight="false" outlineLevel="0" collapsed="false">
      <c r="A23" s="25" t="s">
        <v>134</v>
      </c>
      <c r="B23" s="7" t="n">
        <v>14200000</v>
      </c>
      <c r="C23" s="26" t="n">
        <f aca="false">SUM(Модель!I40:N40)</f>
        <v>10990553.029</v>
      </c>
      <c r="D23" s="27" t="str">
        <f aca="false">IF(ABS(C23-B23)&lt;=2130000,"да","НЕТ")</f>
        <v>НЕТ</v>
      </c>
    </row>
    <row r="24" customFormat="false" ht="15" hidden="false" customHeight="false" outlineLevel="0" collapsed="false">
      <c r="A24" s="25" t="s">
        <v>135</v>
      </c>
      <c r="B24" s="7" t="n">
        <v>18400000</v>
      </c>
      <c r="C24" s="26" t="n">
        <f aca="false">SUM(Модель!O40:T40)</f>
        <v>20043920.545</v>
      </c>
      <c r="D24" s="27" t="str">
        <f aca="false">IF(ABS(C24-B24)&lt;=2760000,"да","НЕТ")</f>
        <v>да</v>
      </c>
    </row>
    <row r="26" customFormat="false" ht="15" hidden="false" customHeight="false" outlineLevel="0" collapsed="false">
      <c r="A26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2026-09-28T11:50:15Z</dcterms:created>
  <dc:creator>openpyxl</dc:creator>
  <dc:description/>
  <dc:language>en-US</dc:language>
  <cp:lastModifiedBy/>
  <dcterms:modified xsi:type="dcterms:W3CDTF">2026-09-28T11:50:15Z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