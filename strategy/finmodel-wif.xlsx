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Рычаги" sheetId="1" state="visible" r:id="rId3"/>
    <sheet name="Модель" sheetId="2" state="visible" r:id="rId4"/>
    <sheet name="Проверк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<sst xmlns="http://schemas.openxmlformats.org/spreadsheetml/2006/main" count="120" uniqueCount="88">
  <si>
    <t xml:space="preserve">Рычаги финмодели WIF</t>
  </si>
  <si>
    <t xml:space="preserve">Синим — то, что правится руками. Жёлтым — допущения, которых в стратегии нет и которые первыми надо заменить фактом.</t>
  </si>
  <si>
    <t xml:space="preserve">Рычаг</t>
  </si>
  <si>
    <t xml:space="preserve">Значение</t>
  </si>
  <si>
    <t xml:space="preserve">Откуда</t>
  </si>
  <si>
    <t xml:space="preserve">ТРУД · ИИ-СОТРУДНИКИ</t>
  </si>
  <si>
    <t xml:space="preserve">Средний платёж на старте, $/мес</t>
  </si>
  <si>
    <t xml:space="preserve">target-state-18m.md, roles.md: первые контракты от $5 тыс.</t>
  </si>
  <si>
    <t xml:space="preserve">Средний платёж к мес. 18, $/мес</t>
  </si>
  <si>
    <t xml:space="preserve">target-state-18m.md</t>
  </si>
  <si>
    <t xml:space="preserve">Отток компаний в месяц</t>
  </si>
  <si>
    <t xml:space="preserve">target-state-18m.md: не выше 1%</t>
  </si>
  <si>
    <t xml:space="preserve">Цена пилота, $ разово</t>
  </si>
  <si>
    <t xml:space="preserve">90-day-plan.md: $3–5 тыс., оплата вперёд</t>
  </si>
  <si>
    <t xml:space="preserve">Месяц выхода на платящих</t>
  </si>
  <si>
    <t xml:space="preserve">roles.md: мес. 6 — первые контракты $5 тыс./мес</t>
  </si>
  <si>
    <t xml:space="preserve">ЛИЧНОСТЬ · ПЕРСОНАЖИ</t>
  </si>
  <si>
    <t xml:space="preserve">Цена подписки, $/мес</t>
  </si>
  <si>
    <t xml:space="preserve">Отток подписчиков в месяц</t>
  </si>
  <si>
    <t xml:space="preserve">Конверсия посетителя в подписку</t>
  </si>
  <si>
    <t xml:space="preserve">Средний чек сделки с брендом, $</t>
  </si>
  <si>
    <t xml:space="preserve">КАПИТАЛ · УЧЁТ РАСХОДОВ НА ИИ</t>
  </si>
  <si>
    <t xml:space="preserve">Допущение: в стратегии нет. Ориентир — оффер $500–2000/мес из 90-day-plan.md</t>
  </si>
  <si>
    <t xml:space="preserve">Допущение: в стратегии нет. Самообслуживание, отток выше, чем в Труде</t>
  </si>
  <si>
    <t xml:space="preserve">КОМАНДА</t>
  </si>
  <si>
    <t xml:space="preserve">Полная стоимость ставки, $/год</t>
  </si>
  <si>
    <t xml:space="preserve">roles.md: вилка $120–200 тыс. Взята середина — допущение</t>
  </si>
  <si>
    <t xml:space="preserve">ДЕНЬГИ</t>
  </si>
  <si>
    <t xml:space="preserve">Раунд, $</t>
  </si>
  <si>
    <t xml:space="preserve">Дека v10, слайд 12</t>
  </si>
  <si>
    <t xml:space="preserve">Этап 1, мес. 1–3, $</t>
  </si>
  <si>
    <t xml:space="preserve">90-day-plan.md, дека v10 слайд 14</t>
  </si>
  <si>
    <t xml:space="preserve">Этап 2, мес. 4–6, $</t>
  </si>
  <si>
    <t xml:space="preserve">Дека v10, слайд 14</t>
  </si>
  <si>
    <t xml:space="preserve">Этап 3, мес. 7–12, $</t>
  </si>
  <si>
    <t xml:space="preserve">Этап 4, мес. 13–18, $</t>
  </si>
  <si>
    <t xml:space="preserve">Резерв, $</t>
  </si>
  <si>
    <t xml:space="preserve">Модель по месяцам · базовый сценарий</t>
  </si>
  <si>
    <t xml:space="preserve">Синие строки — вводные: траектория клиентов и план расхода. Всё остальное — формулы. Траектория проведена через контрольные точки target-state-18m.md (мес. 6, 12, 15, 18), между ними экспонента.</t>
  </si>
  <si>
    <t xml:space="preserve">Месяц</t>
  </si>
  <si>
    <t xml:space="preserve">Единица</t>
  </si>
  <si>
    <t xml:space="preserve">Активных компаний</t>
  </si>
  <si>
    <t xml:space="preserve">шт.</t>
  </si>
  <si>
    <t xml:space="preserve">Новых компаний за месяц</t>
  </si>
  <si>
    <t xml:space="preserve">Средний платёж</t>
  </si>
  <si>
    <t xml:space="preserve">$/мес</t>
  </si>
  <si>
    <t xml:space="preserve">Пилотов запущено</t>
  </si>
  <si>
    <t xml:space="preserve">Выручка Труда</t>
  </si>
  <si>
    <t xml:space="preserve">Платных подписчиков</t>
  </si>
  <si>
    <t xml:space="preserve">чел.</t>
  </si>
  <si>
    <t xml:space="preserve">Новых подписчиков за месяц</t>
  </si>
  <si>
    <t xml:space="preserve">Визитов на платное предложение</t>
  </si>
  <si>
    <t xml:space="preserve">чел./мес</t>
  </si>
  <si>
    <t xml:space="preserve">Выручка подписки</t>
  </si>
  <si>
    <t xml:space="preserve">Сделок с брендами</t>
  </si>
  <si>
    <t xml:space="preserve">шт./мес</t>
  </si>
  <si>
    <t xml:space="preserve">Выручка от брендов</t>
  </si>
  <si>
    <t xml:space="preserve">Платящих компаний</t>
  </si>
  <si>
    <t xml:space="preserve">Выручка Капитала</t>
  </si>
  <si>
    <t xml:space="preserve">ВЫРУЧКА</t>
  </si>
  <si>
    <t xml:space="preserve">Выручка всего</t>
  </si>
  <si>
    <t xml:space="preserve">ARR (без сделок с брендами)</t>
  </si>
  <si>
    <t xml:space="preserve">$</t>
  </si>
  <si>
    <t xml:space="preserve">РАСХОДЫ И ДЕНЬГИ</t>
  </si>
  <si>
    <t xml:space="preserve">Штат</t>
  </si>
  <si>
    <t xml:space="preserve">ставок</t>
  </si>
  <si>
    <t xml:space="preserve">ФОТ</t>
  </si>
  <si>
    <t xml:space="preserve">Расход всего</t>
  </si>
  <si>
    <t xml:space="preserve">В том числе всё, кроме людей</t>
  </si>
  <si>
    <t xml:space="preserve">Чистый поток</t>
  </si>
  <si>
    <t xml:space="preserve">Деньги на счету</t>
  </si>
  <si>
    <t xml:space="preserve">Сходимость со стратегией</t>
  </si>
  <si>
    <t xml:space="preserve">Модель считает по своим формулам, колонка «В стратегии» — то, что написано в target-state-18m.md и деке v10. Расхождение означает, что в одном из двух мест цифру надо поправить.</t>
  </si>
  <si>
    <t xml:space="preserve">Что сверяем</t>
  </si>
  <si>
    <t xml:space="preserve">В стратегии</t>
  </si>
  <si>
    <t xml:space="preserve">В модели</t>
  </si>
  <si>
    <t xml:space="preserve">Сходится</t>
  </si>
  <si>
    <t xml:space="preserve">ARR группы в 18-м месяце</t>
  </si>
  <si>
    <t xml:space="preserve">Выручка 18-го месяца</t>
  </si>
  <si>
    <t xml:space="preserve">Расход 18-го месяца</t>
  </si>
  <si>
    <t xml:space="preserve">Чистый поток 18-го месяца</t>
  </si>
  <si>
    <t xml:space="preserve">Деньги на счету в 18-м месяце</t>
  </si>
  <si>
    <t xml:space="preserve">Платящих компаний, Труд</t>
  </si>
  <si>
    <t xml:space="preserve">Подписчиков, Личность</t>
  </si>
  <si>
    <t xml:space="preserve">Платящих компаний, Капитал</t>
  </si>
  <si>
    <t xml:space="preserve">Визитов на оплату в месяц, Личность</t>
  </si>
  <si>
    <t xml:space="preserve">Штат к 18-му месяцу</t>
  </si>
  <si>
    <t xml:space="preserve">Допуск подобран под порядок величины показателя; он в формуле колонки «Сходится».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</si>
</sst>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"/>
    <numFmt numFmtId="167" formatCode="#,##0;\(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33333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/>
      <c r="C5" s="4"/>
    </row>
    <row r="6" customFormat="false" ht="15" hidden="false" customHeight="false" outlineLevel="0" collapsed="false">
      <c r="A6" s="5" t="s">
        <v>6</v>
      </c>
      <c r="B6" s="6" t="n">
        <v>5000</v>
      </c>
      <c r="C6" s="2" t="s">
        <v>7</v>
      </c>
    </row>
    <row r="7" customFormat="false" ht="15" hidden="false" customHeight="false" outlineLevel="0" collapsed="false">
      <c r="A7" s="5" t="s">
        <v>8</v>
      </c>
      <c r="B7" s="6" t="n">
        <v>15000</v>
      </c>
      <c r="C7" s="2" t="s">
        <v>9</v>
      </c>
    </row>
    <row r="8" customFormat="false" ht="15" hidden="false" customHeight="false" outlineLevel="0" collapsed="false">
      <c r="A8" s="5" t="s">
        <v>10</v>
      </c>
      <c r="B8" s="7" t="n">
        <v>0.01</v>
      </c>
      <c r="C8" s="2" t="s">
        <v>11</v>
      </c>
    </row>
    <row r="9" customFormat="false" ht="15" hidden="false" customHeight="false" outlineLevel="0" collapsed="false">
      <c r="A9" s="5" t="s">
        <v>12</v>
      </c>
      <c r="B9" s="6" t="n">
        <v>4000</v>
      </c>
      <c r="C9" s="2" t="s">
        <v>13</v>
      </c>
    </row>
    <row r="10" customFormat="false" ht="15" hidden="false" customHeight="false" outlineLevel="0" collapsed="false">
      <c r="A10" s="5" t="s">
        <v>14</v>
      </c>
      <c r="B10" s="8" t="n">
        <v>6</v>
      </c>
      <c r="C10" s="2" t="s">
        <v>15</v>
      </c>
    </row>
    <row r="11" customFormat="false" ht="15" hidden="false" customHeight="false" outlineLevel="0" collapsed="false">
      <c r="A11" s="4" t="s">
        <v>16</v>
      </c>
      <c r="B11" s="4"/>
      <c r="C11" s="4"/>
    </row>
    <row r="12" customFormat="false" ht="15" hidden="false" customHeight="false" outlineLevel="0" collapsed="false">
      <c r="A12" s="5" t="s">
        <v>17</v>
      </c>
      <c r="B12" s="8" t="n">
        <v>10</v>
      </c>
      <c r="C12" s="2" t="s">
        <v>9</v>
      </c>
    </row>
    <row r="13" customFormat="false" ht="15" hidden="false" customHeight="false" outlineLevel="0" collapsed="false">
      <c r="A13" s="5" t="s">
        <v>18</v>
      </c>
      <c r="B13" s="7" t="n">
        <v>0.08</v>
      </c>
      <c r="C13" s="2" t="s">
        <v>9</v>
      </c>
    </row>
    <row r="14" customFormat="false" ht="15" hidden="false" customHeight="false" outlineLevel="0" collapsed="false">
      <c r="A14" s="5" t="s">
        <v>19</v>
      </c>
      <c r="B14" s="7" t="n">
        <v>0.01</v>
      </c>
      <c r="C14" s="2" t="s">
        <v>9</v>
      </c>
    </row>
    <row r="15" customFormat="false" ht="15" hidden="false" customHeight="false" outlineLevel="0" collapsed="false">
      <c r="A15" s="5" t="s">
        <v>20</v>
      </c>
      <c r="B15" s="6" t="n">
        <v>50000</v>
      </c>
      <c r="C15" s="2" t="s">
        <v>9</v>
      </c>
    </row>
    <row r="16" customFormat="false" ht="15" hidden="false" customHeight="false" outlineLevel="0" collapsed="false">
      <c r="A16" s="4" t="s">
        <v>21</v>
      </c>
      <c r="B16" s="4"/>
      <c r="C16" s="4"/>
    </row>
    <row r="17" customFormat="false" ht="15" hidden="false" customHeight="false" outlineLevel="0" collapsed="false">
      <c r="A17" s="5" t="s">
        <v>6</v>
      </c>
      <c r="B17" s="9" t="n">
        <v>800</v>
      </c>
      <c r="C17" s="2" t="s">
        <v>22</v>
      </c>
    </row>
    <row r="18" customFormat="false" ht="15" hidden="false" customHeight="false" outlineLevel="0" collapsed="false">
      <c r="A18" s="5" t="s">
        <v>8</v>
      </c>
      <c r="B18" s="6" t="n">
        <v>2000</v>
      </c>
      <c r="C18" s="2" t="s">
        <v>9</v>
      </c>
    </row>
    <row r="19" customFormat="false" ht="15" hidden="false" customHeight="false" outlineLevel="0" collapsed="false">
      <c r="A19" s="5" t="s">
        <v>10</v>
      </c>
      <c r="B19" s="10" t="n">
        <v>0.015</v>
      </c>
      <c r="C19" s="2" t="s">
        <v>23</v>
      </c>
    </row>
    <row r="20" customFormat="false" ht="15" hidden="false" customHeight="false" outlineLevel="0" collapsed="false">
      <c r="A20" s="4" t="s">
        <v>24</v>
      </c>
      <c r="B20" s="4"/>
      <c r="C20" s="4"/>
    </row>
    <row r="21" customFormat="false" ht="15" hidden="false" customHeight="false" outlineLevel="0" collapsed="false">
      <c r="A21" s="5" t="s">
        <v>25</v>
      </c>
      <c r="B21" s="9" t="n">
        <v>150000</v>
      </c>
      <c r="C21" s="2" t="s">
        <v>26</v>
      </c>
    </row>
    <row r="22" customFormat="false" ht="15" hidden="false" customHeight="false" outlineLevel="0" collapsed="false">
      <c r="A22" s="4" t="s">
        <v>27</v>
      </c>
      <c r="B22" s="4"/>
      <c r="C22" s="4"/>
    </row>
    <row r="23" customFormat="false" ht="15" hidden="false" customHeight="false" outlineLevel="0" collapsed="false">
      <c r="A23" s="5" t="s">
        <v>28</v>
      </c>
      <c r="B23" s="6" t="n">
        <v>50000000</v>
      </c>
      <c r="C23" s="2" t="s">
        <v>29</v>
      </c>
    </row>
    <row r="24" customFormat="false" ht="15" hidden="false" customHeight="false" outlineLevel="0" collapsed="false">
      <c r="A24" s="5" t="s">
        <v>30</v>
      </c>
      <c r="B24" s="6" t="n">
        <v>3710000</v>
      </c>
      <c r="C24" s="2" t="s">
        <v>31</v>
      </c>
    </row>
    <row r="25" customFormat="false" ht="15" hidden="false" customHeight="false" outlineLevel="0" collapsed="false">
      <c r="A25" s="5" t="s">
        <v>32</v>
      </c>
      <c r="B25" s="6" t="n">
        <v>5700000</v>
      </c>
      <c r="C25" s="2" t="s">
        <v>33</v>
      </c>
    </row>
    <row r="26" customFormat="false" ht="15" hidden="false" customHeight="false" outlineLevel="0" collapsed="false">
      <c r="A26" s="5" t="s">
        <v>34</v>
      </c>
      <c r="B26" s="6" t="n">
        <v>14200000</v>
      </c>
      <c r="C26" s="2" t="s">
        <v>33</v>
      </c>
    </row>
    <row r="27" customFormat="false" ht="15" hidden="false" customHeight="false" outlineLevel="0" collapsed="false">
      <c r="A27" s="5" t="s">
        <v>35</v>
      </c>
      <c r="B27" s="6" t="n">
        <v>18400000</v>
      </c>
      <c r="C27" s="2" t="s">
        <v>33</v>
      </c>
    </row>
    <row r="28" customFormat="false" ht="15" hidden="false" customHeight="false" outlineLevel="0" collapsed="false">
      <c r="A28" s="5" t="s">
        <v>36</v>
      </c>
      <c r="B28" s="6" t="n">
        <v>8000000</v>
      </c>
      <c r="C28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1"/>
    <col collapsed="false" customWidth="true" hidden="false" outlineLevel="0" max="20" min="3" style="0" width="10"/>
  </cols>
  <sheetData>
    <row r="1" customFormat="false" ht="16.1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15" hidden="false" customHeight="false" outlineLevel="0" collapsed="false">
      <c r="A4" s="3" t="s">
        <v>39</v>
      </c>
      <c r="B4" s="3" t="s">
        <v>40</v>
      </c>
      <c r="C4" s="11" t="n">
        <v>1</v>
      </c>
      <c r="D4" s="11" t="n">
        <v>2</v>
      </c>
      <c r="E4" s="11" t="n">
        <v>3</v>
      </c>
      <c r="F4" s="11" t="n">
        <v>4</v>
      </c>
      <c r="G4" s="11" t="n">
        <v>5</v>
      </c>
      <c r="H4" s="11" t="n">
        <v>6</v>
      </c>
      <c r="I4" s="11" t="n">
        <v>7</v>
      </c>
      <c r="J4" s="11" t="n">
        <v>8</v>
      </c>
      <c r="K4" s="11" t="n">
        <v>9</v>
      </c>
      <c r="L4" s="11" t="n">
        <v>10</v>
      </c>
      <c r="M4" s="11" t="n">
        <v>11</v>
      </c>
      <c r="N4" s="11" t="n">
        <v>12</v>
      </c>
      <c r="O4" s="11" t="n">
        <v>13</v>
      </c>
      <c r="P4" s="11" t="n">
        <v>14</v>
      </c>
      <c r="Q4" s="11" t="n">
        <v>15</v>
      </c>
      <c r="R4" s="11" t="n">
        <v>16</v>
      </c>
      <c r="S4" s="11" t="n">
        <v>17</v>
      </c>
      <c r="T4" s="11" t="n">
        <v>18</v>
      </c>
    </row>
    <row r="5" customFormat="false" ht="15" hidden="false" customHeight="fals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5" t="s">
        <v>41</v>
      </c>
      <c r="B6" s="2" t="s">
        <v>42</v>
      </c>
      <c r="C6" s="12" t="n">
        <v>0</v>
      </c>
      <c r="D6" s="12" t="n">
        <v>0</v>
      </c>
      <c r="E6" s="12" t="n">
        <v>0</v>
      </c>
      <c r="F6" s="12" t="n">
        <v>0</v>
      </c>
      <c r="G6" s="12" t="n">
        <v>0</v>
      </c>
      <c r="H6" s="12" t="n">
        <v>10</v>
      </c>
      <c r="I6" s="12" t="n">
        <v>13.4801</v>
      </c>
      <c r="J6" s="12" t="n">
        <v>18.1712</v>
      </c>
      <c r="K6" s="12" t="n">
        <v>24.4949</v>
      </c>
      <c r="L6" s="12" t="n">
        <v>33.0193</v>
      </c>
      <c r="M6" s="12" t="n">
        <v>44.5102</v>
      </c>
      <c r="N6" s="12" t="n">
        <v>60</v>
      </c>
      <c r="O6" s="12" t="n">
        <v>70.433</v>
      </c>
      <c r="P6" s="12" t="n">
        <v>82.68</v>
      </c>
      <c r="Q6" s="12" t="n">
        <v>97.0567</v>
      </c>
      <c r="R6" s="12" t="n">
        <v>113.9332</v>
      </c>
      <c r="S6" s="12" t="n">
        <v>133.7442</v>
      </c>
      <c r="T6" s="12" t="n">
        <v>157</v>
      </c>
    </row>
    <row r="7" customFormat="false" ht="15" hidden="false" customHeight="false" outlineLevel="0" collapsed="false">
      <c r="A7" s="5" t="s">
        <v>43</v>
      </c>
      <c r="B7" s="2" t="s">
        <v>42</v>
      </c>
      <c r="C7" s="13" t="n">
        <f aca="false">C6</f>
        <v>0</v>
      </c>
      <c r="D7" s="13" t="n">
        <f aca="false">D6-C6*(1-Рычаги!$B$8)</f>
        <v>0</v>
      </c>
      <c r="E7" s="13" t="n">
        <f aca="false">E6-D6*(1-Рычаги!$B$8)</f>
        <v>0</v>
      </c>
      <c r="F7" s="13" t="n">
        <f aca="false">F6-E6*(1-Рычаги!$B$8)</f>
        <v>0</v>
      </c>
      <c r="G7" s="13" t="n">
        <f aca="false">G6-F6*(1-Рычаги!$B$8)</f>
        <v>0</v>
      </c>
      <c r="H7" s="13" t="n">
        <f aca="false">H6-G6*(1-Рычаги!$B$8)</f>
        <v>10</v>
      </c>
      <c r="I7" s="13" t="n">
        <f aca="false">I6-H6*(1-Рычаги!$B$8)</f>
        <v>3.5801</v>
      </c>
      <c r="J7" s="13" t="n">
        <f aca="false">J6-I6*(1-Рычаги!$B$8)</f>
        <v>4.825901</v>
      </c>
      <c r="K7" s="13" t="n">
        <f aca="false">K6-J6*(1-Рычаги!$B$8)</f>
        <v>6.505412</v>
      </c>
      <c r="L7" s="13" t="n">
        <f aca="false">L6-K6*(1-Рычаги!$B$8)</f>
        <v>8.769349</v>
      </c>
      <c r="M7" s="13" t="n">
        <f aca="false">M6-L6*(1-Рычаги!$B$8)</f>
        <v>11.821093</v>
      </c>
      <c r="N7" s="13" t="n">
        <f aca="false">N6-M6*(1-Рычаги!$B$8)</f>
        <v>15.934902</v>
      </c>
      <c r="O7" s="13" t="n">
        <f aca="false">O6-N6*(1-Рычаги!$B$8)</f>
        <v>11.033</v>
      </c>
      <c r="P7" s="13" t="n">
        <f aca="false">P6-O6*(1-Рычаги!$B$8)</f>
        <v>12.95133</v>
      </c>
      <c r="Q7" s="13" t="n">
        <f aca="false">Q6-P6*(1-Рычаги!$B$8)</f>
        <v>15.2035</v>
      </c>
      <c r="R7" s="13" t="n">
        <f aca="false">R6-Q6*(1-Рычаги!$B$8)</f>
        <v>17.847067</v>
      </c>
      <c r="S7" s="13" t="n">
        <f aca="false">S6-R6*(1-Рычаги!$B$8)</f>
        <v>20.950332</v>
      </c>
      <c r="T7" s="13" t="n">
        <f aca="false">T6-S6*(1-Рычаги!$B$8)</f>
        <v>24.593242</v>
      </c>
    </row>
    <row r="8" customFormat="false" ht="15" hidden="false" customHeight="false" outlineLevel="0" collapsed="false">
      <c r="A8" s="5" t="s">
        <v>44</v>
      </c>
      <c r="B8" s="2" t="s">
        <v>45</v>
      </c>
      <c r="C8" s="14" t="n">
        <f aca="false">IF(1&lt;Рычаги!$B$10,0,MIN(Рычаги!$B$7,Рычаги!$B$6+(Рычаги!$B$7-Рычаги!$B$6)*(1-Рычаги!$B$10)/(18-Рычаги!$B$10)))</f>
        <v>0</v>
      </c>
      <c r="D8" s="14" t="n">
        <f aca="false">IF(2&lt;Рычаги!$B$10,0,MIN(Рычаги!$B$7,Рычаги!$B$6+(Рычаги!$B$7-Рычаги!$B$6)*(2-Рычаги!$B$10)/(18-Рычаги!$B$10)))</f>
        <v>0</v>
      </c>
      <c r="E8" s="14" t="n">
        <f aca="false">IF(3&lt;Рычаги!$B$10,0,MIN(Рычаги!$B$7,Рычаги!$B$6+(Рычаги!$B$7-Рычаги!$B$6)*(3-Рычаги!$B$10)/(18-Рычаги!$B$10)))</f>
        <v>0</v>
      </c>
      <c r="F8" s="14" t="n">
        <f aca="false">IF(4&lt;Рычаги!$B$10,0,MIN(Рычаги!$B$7,Рычаги!$B$6+(Рычаги!$B$7-Рычаги!$B$6)*(4-Рычаги!$B$10)/(18-Рычаги!$B$10)))</f>
        <v>0</v>
      </c>
      <c r="G8" s="14" t="n">
        <f aca="false">IF(5&lt;Рычаги!$B$10,0,MIN(Рычаги!$B$7,Рычаги!$B$6+(Рычаги!$B$7-Рычаги!$B$6)*(5-Рычаги!$B$10)/(18-Рычаги!$B$10)))</f>
        <v>0</v>
      </c>
      <c r="H8" s="14" t="n">
        <f aca="false">IF(6&lt;Рычаги!$B$10,0,MIN(Рычаги!$B$7,Рычаги!$B$6+(Рычаги!$B$7-Рычаги!$B$6)*(6-Рычаги!$B$10)/(18-Рычаги!$B$10)))</f>
        <v>5000</v>
      </c>
      <c r="I8" s="14" t="n">
        <f aca="false">IF(7&lt;Рычаги!$B$10,0,MIN(Рычаги!$B$7,Рычаги!$B$6+(Рычаги!$B$7-Рычаги!$B$6)*(7-Рычаги!$B$10)/(18-Рычаги!$B$10)))</f>
        <v>5833.33333333333</v>
      </c>
      <c r="J8" s="14" t="n">
        <f aca="false">IF(8&lt;Рычаги!$B$10,0,MIN(Рычаги!$B$7,Рычаги!$B$6+(Рычаги!$B$7-Рычаги!$B$6)*(8-Рычаги!$B$10)/(18-Рычаги!$B$10)))</f>
        <v>6666.66666666667</v>
      </c>
      <c r="K8" s="14" t="n">
        <f aca="false">IF(9&lt;Рычаги!$B$10,0,MIN(Рычаги!$B$7,Рычаги!$B$6+(Рычаги!$B$7-Рычаги!$B$6)*(9-Рычаги!$B$10)/(18-Рычаги!$B$10)))</f>
        <v>7500</v>
      </c>
      <c r="L8" s="14" t="n">
        <f aca="false">IF(10&lt;Рычаги!$B$10,0,MIN(Рычаги!$B$7,Рычаги!$B$6+(Рычаги!$B$7-Рычаги!$B$6)*(10-Рычаги!$B$10)/(18-Рычаги!$B$10)))</f>
        <v>8333.33333333333</v>
      </c>
      <c r="M8" s="14" t="n">
        <f aca="false">IF(11&lt;Рычаги!$B$10,0,MIN(Рычаги!$B$7,Рычаги!$B$6+(Рычаги!$B$7-Рычаги!$B$6)*(11-Рычаги!$B$10)/(18-Рычаги!$B$10)))</f>
        <v>9166.66666666667</v>
      </c>
      <c r="N8" s="14" t="n">
        <f aca="false">IF(12&lt;Рычаги!$B$10,0,MIN(Рычаги!$B$7,Рычаги!$B$6+(Рычаги!$B$7-Рычаги!$B$6)*(12-Рычаги!$B$10)/(18-Рычаги!$B$10)))</f>
        <v>10000</v>
      </c>
      <c r="O8" s="14" t="n">
        <f aca="false">IF(13&lt;Рычаги!$B$10,0,MIN(Рычаги!$B$7,Рычаги!$B$6+(Рычаги!$B$7-Рычаги!$B$6)*(13-Рычаги!$B$10)/(18-Рычаги!$B$10)))</f>
        <v>10833.3333333333</v>
      </c>
      <c r="P8" s="14" t="n">
        <f aca="false">IF(14&lt;Рычаги!$B$10,0,MIN(Рычаги!$B$7,Рычаги!$B$6+(Рычаги!$B$7-Рычаги!$B$6)*(14-Рычаги!$B$10)/(18-Рычаги!$B$10)))</f>
        <v>11666.6666666667</v>
      </c>
      <c r="Q8" s="14" t="n">
        <f aca="false">IF(15&lt;Рычаги!$B$10,0,MIN(Рычаги!$B$7,Рычаги!$B$6+(Рычаги!$B$7-Рычаги!$B$6)*(15-Рычаги!$B$10)/(18-Рычаги!$B$10)))</f>
        <v>12500</v>
      </c>
      <c r="R8" s="14" t="n">
        <f aca="false">IF(16&lt;Рычаги!$B$10,0,MIN(Рычаги!$B$7,Рычаги!$B$6+(Рычаги!$B$7-Рычаги!$B$6)*(16-Рычаги!$B$10)/(18-Рычаги!$B$10)))</f>
        <v>13333.3333333333</v>
      </c>
      <c r="S8" s="14" t="n">
        <f aca="false">IF(17&lt;Рычаги!$B$10,0,MIN(Рычаги!$B$7,Рычаги!$B$6+(Рычаги!$B$7-Рычаги!$B$6)*(17-Рычаги!$B$10)/(18-Рычаги!$B$10)))</f>
        <v>14166.6666666667</v>
      </c>
      <c r="T8" s="14" t="n">
        <f aca="false">IF(18&lt;Рычаги!$B$10,0,MIN(Рычаги!$B$7,Рычаги!$B$6+(Рычаги!$B$7-Рычаги!$B$6)*(18-Рычаги!$B$10)/(18-Рычаги!$B$10)))</f>
        <v>15000</v>
      </c>
    </row>
    <row r="9" customFormat="false" ht="15" hidden="false" customHeight="false" outlineLevel="0" collapsed="false">
      <c r="A9" s="5" t="s">
        <v>46</v>
      </c>
      <c r="B9" s="2" t="s">
        <v>42</v>
      </c>
      <c r="C9" s="12" t="n">
        <v>0</v>
      </c>
      <c r="D9" s="12" t="n">
        <v>1</v>
      </c>
      <c r="E9" s="12" t="n">
        <v>2</v>
      </c>
      <c r="F9" s="12" t="n">
        <v>2</v>
      </c>
      <c r="G9" s="12" t="n">
        <v>2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</row>
    <row r="10" customFormat="false" ht="15" hidden="false" customHeight="false" outlineLevel="0" collapsed="false">
      <c r="A10" s="15" t="s">
        <v>47</v>
      </c>
      <c r="B10" s="2" t="s">
        <v>45</v>
      </c>
      <c r="C10" s="14" t="n">
        <f aca="false">C6*C8+C9*Рычаги!$B$9</f>
        <v>0</v>
      </c>
      <c r="D10" s="14" t="n">
        <f aca="false">D6*D8+D9*Рычаги!$B$9</f>
        <v>4000</v>
      </c>
      <c r="E10" s="14" t="n">
        <f aca="false">E6*E8+E9*Рычаги!$B$9</f>
        <v>8000</v>
      </c>
      <c r="F10" s="14" t="n">
        <f aca="false">F6*F8+F9*Рычаги!$B$9</f>
        <v>8000</v>
      </c>
      <c r="G10" s="14" t="n">
        <f aca="false">G6*G8+G9*Рычаги!$B$9</f>
        <v>8000</v>
      </c>
      <c r="H10" s="14" t="n">
        <f aca="false">H6*H8+H9*Рычаги!$B$9</f>
        <v>50000</v>
      </c>
      <c r="I10" s="14" t="n">
        <f aca="false">I6*I8+I9*Рычаги!$B$9</f>
        <v>78633.9166666667</v>
      </c>
      <c r="J10" s="14" t="n">
        <f aca="false">J6*J8+J9*Рычаги!$B$9</f>
        <v>121141.333333333</v>
      </c>
      <c r="K10" s="14" t="n">
        <f aca="false">K6*K8+K9*Рычаги!$B$9</f>
        <v>183711.75</v>
      </c>
      <c r="L10" s="14" t="n">
        <f aca="false">L6*L8+L9*Рычаги!$B$9</f>
        <v>275160.833333333</v>
      </c>
      <c r="M10" s="14" t="n">
        <f aca="false">M6*M8+M9*Рычаги!$B$9</f>
        <v>408010.166666667</v>
      </c>
      <c r="N10" s="14" t="n">
        <f aca="false">N6*N8+N9*Рычаги!$B$9</f>
        <v>600000</v>
      </c>
      <c r="O10" s="14" t="n">
        <f aca="false">O6*O8+O9*Рычаги!$B$9</f>
        <v>763024.166666667</v>
      </c>
      <c r="P10" s="14" t="n">
        <f aca="false">P6*P8+P9*Рычаги!$B$9</f>
        <v>964600</v>
      </c>
      <c r="Q10" s="14" t="n">
        <f aca="false">Q6*Q8+Q9*Рычаги!$B$9</f>
        <v>1213208.75</v>
      </c>
      <c r="R10" s="14" t="n">
        <f aca="false">R6*R8+R9*Рычаги!$B$9</f>
        <v>1519109.33333333</v>
      </c>
      <c r="S10" s="14" t="n">
        <f aca="false">S6*S8+S9*Рычаги!$B$9</f>
        <v>1894709.5</v>
      </c>
      <c r="T10" s="14" t="n">
        <f aca="false">T6*T8+T9*Рычаги!$B$9</f>
        <v>2355000</v>
      </c>
    </row>
    <row r="11" customFormat="false" ht="15" hidden="false" customHeight="false" outlineLevel="0" collapsed="false">
      <c r="A11" s="4" t="s">
        <v>16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5" t="s">
        <v>48</v>
      </c>
      <c r="B12" s="2" t="s">
        <v>49</v>
      </c>
      <c r="C12" s="12" t="n">
        <v>0</v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2500</v>
      </c>
      <c r="L12" s="12" t="n">
        <v>5000</v>
      </c>
      <c r="M12" s="12" t="n">
        <v>7500</v>
      </c>
      <c r="N12" s="12" t="n">
        <v>10000</v>
      </c>
      <c r="O12" s="12" t="n">
        <v>13572.0881</v>
      </c>
      <c r="P12" s="12" t="n">
        <v>18420.1575</v>
      </c>
      <c r="Q12" s="12" t="n">
        <v>25000</v>
      </c>
      <c r="R12" s="12" t="n">
        <v>34110.2247</v>
      </c>
      <c r="S12" s="12" t="n">
        <v>46540.2973</v>
      </c>
      <c r="T12" s="12" t="n">
        <v>63500</v>
      </c>
    </row>
    <row r="13" customFormat="false" ht="15" hidden="false" customHeight="false" outlineLevel="0" collapsed="false">
      <c r="A13" s="5" t="s">
        <v>50</v>
      </c>
      <c r="B13" s="2" t="s">
        <v>49</v>
      </c>
      <c r="C13" s="13" t="n">
        <f aca="false">C12</f>
        <v>0</v>
      </c>
      <c r="D13" s="13" t="n">
        <f aca="false">MAX(0,D12-C12*(1-Рычаги!$B$13))</f>
        <v>0</v>
      </c>
      <c r="E13" s="13" t="n">
        <f aca="false">MAX(0,E12-D12*(1-Рычаги!$B$13))</f>
        <v>0</v>
      </c>
      <c r="F13" s="13" t="n">
        <f aca="false">MAX(0,F12-E12*(1-Рычаги!$B$13))</f>
        <v>0</v>
      </c>
      <c r="G13" s="13" t="n">
        <f aca="false">MAX(0,G12-F12*(1-Рычаги!$B$13))</f>
        <v>0</v>
      </c>
      <c r="H13" s="13" t="n">
        <f aca="false">MAX(0,H12-G12*(1-Рычаги!$B$13))</f>
        <v>0</v>
      </c>
      <c r="I13" s="13" t="n">
        <f aca="false">MAX(0,I12-H12*(1-Рычаги!$B$13))</f>
        <v>0</v>
      </c>
      <c r="J13" s="13" t="n">
        <f aca="false">MAX(0,J12-I12*(1-Рычаги!$B$13))</f>
        <v>0</v>
      </c>
      <c r="K13" s="13" t="n">
        <f aca="false">MAX(0,K12-J12*(1-Рычаги!$B$13))</f>
        <v>2500</v>
      </c>
      <c r="L13" s="13" t="n">
        <f aca="false">MAX(0,L12-K12*(1-Рычаги!$B$13))</f>
        <v>2700</v>
      </c>
      <c r="M13" s="13" t="n">
        <f aca="false">MAX(0,M12-L12*(1-Рычаги!$B$13))</f>
        <v>2900</v>
      </c>
      <c r="N13" s="13" t="n">
        <f aca="false">MAX(0,N12-M12*(1-Рычаги!$B$13))</f>
        <v>3100</v>
      </c>
      <c r="O13" s="13" t="n">
        <f aca="false">MAX(0,O12-N12*(1-Рычаги!$B$13))</f>
        <v>4372.0881</v>
      </c>
      <c r="P13" s="13" t="n">
        <f aca="false">MAX(0,P12-O12*(1-Рычаги!$B$13))</f>
        <v>5933.836448</v>
      </c>
      <c r="Q13" s="13" t="n">
        <f aca="false">MAX(0,Q12-P12*(1-Рычаги!$B$13))</f>
        <v>8053.4551</v>
      </c>
      <c r="R13" s="13" t="n">
        <f aca="false">MAX(0,R12-Q12*(1-Рычаги!$B$13))</f>
        <v>11110.2247</v>
      </c>
      <c r="S13" s="13" t="n">
        <f aca="false">MAX(0,S12-R12*(1-Рычаги!$B$13))</f>
        <v>15158.890576</v>
      </c>
      <c r="T13" s="13" t="n">
        <f aca="false">MAX(0,T12-S12*(1-Рычаги!$B$13))</f>
        <v>20682.926484</v>
      </c>
    </row>
    <row r="14" customFormat="false" ht="15" hidden="false" customHeight="false" outlineLevel="0" collapsed="false">
      <c r="A14" s="5" t="s">
        <v>51</v>
      </c>
      <c r="B14" s="2" t="s">
        <v>52</v>
      </c>
      <c r="C14" s="13" t="n">
        <f aca="false">C13/Рычаги!$B$14</f>
        <v>0</v>
      </c>
      <c r="D14" s="13" t="n">
        <f aca="false">D13/Рычаги!$B$14</f>
        <v>0</v>
      </c>
      <c r="E14" s="13" t="n">
        <f aca="false">E13/Рычаги!$B$14</f>
        <v>0</v>
      </c>
      <c r="F14" s="13" t="n">
        <f aca="false">F13/Рычаги!$B$14</f>
        <v>0</v>
      </c>
      <c r="G14" s="13" t="n">
        <f aca="false">G13/Рычаги!$B$14</f>
        <v>0</v>
      </c>
      <c r="H14" s="13" t="n">
        <f aca="false">H13/Рычаги!$B$14</f>
        <v>0</v>
      </c>
      <c r="I14" s="13" t="n">
        <f aca="false">I13/Рычаги!$B$14</f>
        <v>0</v>
      </c>
      <c r="J14" s="13" t="n">
        <f aca="false">J13/Рычаги!$B$14</f>
        <v>0</v>
      </c>
      <c r="K14" s="13" t="n">
        <f aca="false">K13/Рычаги!$B$14</f>
        <v>250000</v>
      </c>
      <c r="L14" s="13" t="n">
        <f aca="false">L13/Рычаги!$B$14</f>
        <v>270000</v>
      </c>
      <c r="M14" s="13" t="n">
        <f aca="false">M13/Рычаги!$B$14</f>
        <v>290000</v>
      </c>
      <c r="N14" s="13" t="n">
        <f aca="false">N13/Рычаги!$B$14</f>
        <v>310000</v>
      </c>
      <c r="O14" s="13" t="n">
        <f aca="false">O13/Рычаги!$B$14</f>
        <v>437208.81</v>
      </c>
      <c r="P14" s="13" t="n">
        <f aca="false">P13/Рычаги!$B$14</f>
        <v>593383.6448</v>
      </c>
      <c r="Q14" s="13" t="n">
        <f aca="false">Q13/Рычаги!$B$14</f>
        <v>805345.51</v>
      </c>
      <c r="R14" s="13" t="n">
        <f aca="false">R13/Рычаги!$B$14</f>
        <v>1111022.47</v>
      </c>
      <c r="S14" s="13" t="n">
        <f aca="false">S13/Рычаги!$B$14</f>
        <v>1515889.0576</v>
      </c>
      <c r="T14" s="13" t="n">
        <f aca="false">T13/Рычаги!$B$14</f>
        <v>2068292.6484</v>
      </c>
    </row>
    <row r="15" customFormat="false" ht="15" hidden="false" customHeight="false" outlineLevel="0" collapsed="false">
      <c r="A15" s="5" t="s">
        <v>53</v>
      </c>
      <c r="B15" s="2" t="s">
        <v>45</v>
      </c>
      <c r="C15" s="14" t="n">
        <f aca="false">C12*Рычаги!$B$12</f>
        <v>0</v>
      </c>
      <c r="D15" s="14" t="n">
        <f aca="false">D12*Рычаги!$B$12</f>
        <v>0</v>
      </c>
      <c r="E15" s="14" t="n">
        <f aca="false">E12*Рычаги!$B$12</f>
        <v>0</v>
      </c>
      <c r="F15" s="14" t="n">
        <f aca="false">F12*Рычаги!$B$12</f>
        <v>0</v>
      </c>
      <c r="G15" s="14" t="n">
        <f aca="false">G12*Рычаги!$B$12</f>
        <v>0</v>
      </c>
      <c r="H15" s="14" t="n">
        <f aca="false">H12*Рычаги!$B$12</f>
        <v>0</v>
      </c>
      <c r="I15" s="14" t="n">
        <f aca="false">I12*Рычаги!$B$12</f>
        <v>0</v>
      </c>
      <c r="J15" s="14" t="n">
        <f aca="false">J12*Рычаги!$B$12</f>
        <v>0</v>
      </c>
      <c r="K15" s="14" t="n">
        <f aca="false">K12*Рычаги!$B$12</f>
        <v>25000</v>
      </c>
      <c r="L15" s="14" t="n">
        <f aca="false">L12*Рычаги!$B$12</f>
        <v>50000</v>
      </c>
      <c r="M15" s="14" t="n">
        <f aca="false">M12*Рычаги!$B$12</f>
        <v>75000</v>
      </c>
      <c r="N15" s="14" t="n">
        <f aca="false">N12*Рычаги!$B$12</f>
        <v>100000</v>
      </c>
      <c r="O15" s="14" t="n">
        <f aca="false">O12*Рычаги!$B$12</f>
        <v>135720.881</v>
      </c>
      <c r="P15" s="14" t="n">
        <f aca="false">P12*Рычаги!$B$12</f>
        <v>184201.575</v>
      </c>
      <c r="Q15" s="14" t="n">
        <f aca="false">Q12*Рычаги!$B$12</f>
        <v>250000</v>
      </c>
      <c r="R15" s="14" t="n">
        <f aca="false">R12*Рычаги!$B$12</f>
        <v>341102.247</v>
      </c>
      <c r="S15" s="14" t="n">
        <f aca="false">S12*Рычаги!$B$12</f>
        <v>465402.973</v>
      </c>
      <c r="T15" s="14" t="n">
        <f aca="false">T12*Рычаги!$B$12</f>
        <v>635000</v>
      </c>
    </row>
    <row r="16" customFormat="false" ht="15" hidden="false" customHeight="false" outlineLevel="0" collapsed="false">
      <c r="A16" s="5" t="s">
        <v>54</v>
      </c>
      <c r="B16" s="2" t="s">
        <v>55</v>
      </c>
      <c r="C16" s="12" t="n">
        <v>0</v>
      </c>
      <c r="D16" s="12" t="n">
        <v>0</v>
      </c>
      <c r="E16" s="12" t="n">
        <v>1</v>
      </c>
      <c r="F16" s="12" t="n">
        <v>1</v>
      </c>
      <c r="G16" s="12" t="n">
        <v>1</v>
      </c>
      <c r="H16" s="12" t="n">
        <v>1</v>
      </c>
      <c r="I16" s="12" t="n">
        <v>1.2599</v>
      </c>
      <c r="J16" s="12" t="n">
        <v>1.5874</v>
      </c>
      <c r="K16" s="12" t="n">
        <v>2</v>
      </c>
      <c r="L16" s="12" t="n">
        <v>2.5198</v>
      </c>
      <c r="M16" s="12" t="n">
        <v>3.1748</v>
      </c>
      <c r="N16" s="12" t="n">
        <v>4</v>
      </c>
      <c r="O16" s="12" t="n">
        <v>4.4898</v>
      </c>
      <c r="P16" s="12" t="n">
        <v>5.0397</v>
      </c>
      <c r="Q16" s="12" t="n">
        <v>5.6569</v>
      </c>
      <c r="R16" s="12" t="n">
        <v>6.3496</v>
      </c>
      <c r="S16" s="12" t="n">
        <v>7.1272</v>
      </c>
      <c r="T16" s="12" t="n">
        <v>8</v>
      </c>
    </row>
    <row r="17" customFormat="false" ht="15" hidden="false" customHeight="false" outlineLevel="0" collapsed="false">
      <c r="A17" s="5" t="s">
        <v>56</v>
      </c>
      <c r="B17" s="2" t="s">
        <v>45</v>
      </c>
      <c r="C17" s="14" t="n">
        <f aca="false">C16*Рычаги!$B$15</f>
        <v>0</v>
      </c>
      <c r="D17" s="14" t="n">
        <f aca="false">D16*Рычаги!$B$15</f>
        <v>0</v>
      </c>
      <c r="E17" s="14" t="n">
        <f aca="false">E16*Рычаги!$B$15</f>
        <v>50000</v>
      </c>
      <c r="F17" s="14" t="n">
        <f aca="false">F16*Рычаги!$B$15</f>
        <v>50000</v>
      </c>
      <c r="G17" s="14" t="n">
        <f aca="false">G16*Рычаги!$B$15</f>
        <v>50000</v>
      </c>
      <c r="H17" s="14" t="n">
        <f aca="false">H16*Рычаги!$B$15</f>
        <v>50000</v>
      </c>
      <c r="I17" s="14" t="n">
        <f aca="false">I16*Рычаги!$B$15</f>
        <v>62995</v>
      </c>
      <c r="J17" s="14" t="n">
        <f aca="false">J16*Рычаги!$B$15</f>
        <v>79370</v>
      </c>
      <c r="K17" s="14" t="n">
        <f aca="false">K16*Рычаги!$B$15</f>
        <v>100000</v>
      </c>
      <c r="L17" s="14" t="n">
        <f aca="false">L16*Рычаги!$B$15</f>
        <v>125990</v>
      </c>
      <c r="M17" s="14" t="n">
        <f aca="false">M16*Рычаги!$B$15</f>
        <v>158740</v>
      </c>
      <c r="N17" s="14" t="n">
        <f aca="false">N16*Рычаги!$B$15</f>
        <v>200000</v>
      </c>
      <c r="O17" s="14" t="n">
        <f aca="false">O16*Рычаги!$B$15</f>
        <v>224490</v>
      </c>
      <c r="P17" s="14" t="n">
        <f aca="false">P16*Рычаги!$B$15</f>
        <v>251985</v>
      </c>
      <c r="Q17" s="14" t="n">
        <f aca="false">Q16*Рычаги!$B$15</f>
        <v>282845</v>
      </c>
      <c r="R17" s="14" t="n">
        <f aca="false">R16*Рычаги!$B$15</f>
        <v>317480</v>
      </c>
      <c r="S17" s="14" t="n">
        <f aca="false">S16*Рычаги!$B$15</f>
        <v>356360</v>
      </c>
      <c r="T17" s="14" t="n">
        <f aca="false">T16*Рычаги!$B$15</f>
        <v>400000</v>
      </c>
    </row>
    <row r="18" customFormat="false" ht="15" hidden="false" customHeight="false" outlineLevel="0" collapsed="false">
      <c r="A18" s="4" t="s">
        <v>21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5" t="s">
        <v>57</v>
      </c>
      <c r="B19" s="2" t="s">
        <v>42</v>
      </c>
      <c r="C19" s="12" t="n">
        <v>0</v>
      </c>
      <c r="D19" s="12" t="n">
        <v>0</v>
      </c>
      <c r="E19" s="12" t="n">
        <v>2</v>
      </c>
      <c r="F19" s="12" t="n">
        <v>3.42</v>
      </c>
      <c r="G19" s="12" t="n">
        <v>5.848</v>
      </c>
      <c r="H19" s="12" t="n">
        <v>10</v>
      </c>
      <c r="I19" s="12" t="n">
        <v>14.678</v>
      </c>
      <c r="J19" s="12" t="n">
        <v>21.5443</v>
      </c>
      <c r="K19" s="12" t="n">
        <v>31.6228</v>
      </c>
      <c r="L19" s="12" t="n">
        <v>46.4159</v>
      </c>
      <c r="M19" s="12" t="n">
        <v>68.1292</v>
      </c>
      <c r="N19" s="12" t="n">
        <v>100</v>
      </c>
      <c r="O19" s="12" t="n">
        <v>116.9607</v>
      </c>
      <c r="P19" s="12" t="n">
        <v>136.7981</v>
      </c>
      <c r="Q19" s="12" t="n">
        <v>160</v>
      </c>
      <c r="R19" s="12" t="n">
        <v>187.1371</v>
      </c>
      <c r="S19" s="12" t="n">
        <v>218.8769</v>
      </c>
      <c r="T19" s="12" t="n">
        <v>256</v>
      </c>
    </row>
    <row r="20" customFormat="false" ht="15" hidden="false" customHeight="false" outlineLevel="0" collapsed="false">
      <c r="A20" s="5" t="s">
        <v>43</v>
      </c>
      <c r="B20" s="2" t="s">
        <v>42</v>
      </c>
      <c r="C20" s="13" t="n">
        <f aca="false">C19</f>
        <v>0</v>
      </c>
      <c r="D20" s="13" t="n">
        <f aca="false">MAX(0,D19-C19*(1-Рычаги!$B$19))</f>
        <v>0</v>
      </c>
      <c r="E20" s="13" t="n">
        <f aca="false">MAX(0,E19-D19*(1-Рычаги!$B$19))</f>
        <v>2</v>
      </c>
      <c r="F20" s="13" t="n">
        <f aca="false">MAX(0,F19-E19*(1-Рычаги!$B$19))</f>
        <v>1.45</v>
      </c>
      <c r="G20" s="13" t="n">
        <f aca="false">MAX(0,G19-F19*(1-Рычаги!$B$19))</f>
        <v>2.4793</v>
      </c>
      <c r="H20" s="13" t="n">
        <f aca="false">MAX(0,H19-G19*(1-Рычаги!$B$19))</f>
        <v>4.23972</v>
      </c>
      <c r="I20" s="13" t="n">
        <f aca="false">MAX(0,I19-H19*(1-Рычаги!$B$19))</f>
        <v>4.828</v>
      </c>
      <c r="J20" s="13" t="n">
        <f aca="false">MAX(0,J19-I19*(1-Рычаги!$B$19))</f>
        <v>7.08647</v>
      </c>
      <c r="K20" s="13" t="n">
        <f aca="false">MAX(0,K19-J19*(1-Рычаги!$B$19))</f>
        <v>10.4016645</v>
      </c>
      <c r="L20" s="13" t="n">
        <f aca="false">MAX(0,L19-K19*(1-Рычаги!$B$19))</f>
        <v>15.267442</v>
      </c>
      <c r="M20" s="13" t="n">
        <f aca="false">MAX(0,M19-L19*(1-Рычаги!$B$19))</f>
        <v>22.4095385</v>
      </c>
      <c r="N20" s="13" t="n">
        <f aca="false">MAX(0,N19-M19*(1-Рычаги!$B$19))</f>
        <v>32.892738</v>
      </c>
      <c r="O20" s="13" t="n">
        <f aca="false">MAX(0,O19-N19*(1-Рычаги!$B$19))</f>
        <v>18.4607</v>
      </c>
      <c r="P20" s="13" t="n">
        <f aca="false">MAX(0,P19-O19*(1-Рычаги!$B$19))</f>
        <v>21.5918105</v>
      </c>
      <c r="Q20" s="13" t="n">
        <f aca="false">MAX(0,Q19-P19*(1-Рычаги!$B$19))</f>
        <v>25.2538715</v>
      </c>
      <c r="R20" s="13" t="n">
        <f aca="false">MAX(0,R19-Q19*(1-Рычаги!$B$19))</f>
        <v>29.5371</v>
      </c>
      <c r="S20" s="13" t="n">
        <f aca="false">MAX(0,S19-R19*(1-Рычаги!$B$19))</f>
        <v>34.5468565</v>
      </c>
      <c r="T20" s="13" t="n">
        <f aca="false">MAX(0,T19-S19*(1-Рычаги!$B$19))</f>
        <v>40.4062535</v>
      </c>
    </row>
    <row r="21" customFormat="false" ht="15" hidden="false" customHeight="false" outlineLevel="0" collapsed="false">
      <c r="A21" s="5" t="s">
        <v>44</v>
      </c>
      <c r="B21" s="2" t="s">
        <v>45</v>
      </c>
      <c r="C21" s="14" t="n">
        <f aca="false">IF(1&lt;3,0,MIN(Рычаги!$B$18,Рычаги!$B$17+(Рычаги!$B$18-Рычаги!$B$17)*(1-3)/15))</f>
        <v>0</v>
      </c>
      <c r="D21" s="14" t="n">
        <f aca="false">IF(2&lt;3,0,MIN(Рычаги!$B$18,Рычаги!$B$17+(Рычаги!$B$18-Рычаги!$B$17)*(2-3)/15))</f>
        <v>0</v>
      </c>
      <c r="E21" s="14" t="n">
        <f aca="false">IF(3&lt;3,0,MIN(Рычаги!$B$18,Рычаги!$B$17+(Рычаги!$B$18-Рычаги!$B$17)*(3-3)/15))</f>
        <v>800</v>
      </c>
      <c r="F21" s="14" t="n">
        <f aca="false">IF(4&lt;3,0,MIN(Рычаги!$B$18,Рычаги!$B$17+(Рычаги!$B$18-Рычаги!$B$17)*(4-3)/15))</f>
        <v>880</v>
      </c>
      <c r="G21" s="14" t="n">
        <f aca="false">IF(5&lt;3,0,MIN(Рычаги!$B$18,Рычаги!$B$17+(Рычаги!$B$18-Рычаги!$B$17)*(5-3)/15))</f>
        <v>960</v>
      </c>
      <c r="H21" s="14" t="n">
        <f aca="false">IF(6&lt;3,0,MIN(Рычаги!$B$18,Рычаги!$B$17+(Рычаги!$B$18-Рычаги!$B$17)*(6-3)/15))</f>
        <v>1040</v>
      </c>
      <c r="I21" s="14" t="n">
        <f aca="false">IF(7&lt;3,0,MIN(Рычаги!$B$18,Рычаги!$B$17+(Рычаги!$B$18-Рычаги!$B$17)*(7-3)/15))</f>
        <v>1120</v>
      </c>
      <c r="J21" s="14" t="n">
        <f aca="false">IF(8&lt;3,0,MIN(Рычаги!$B$18,Рычаги!$B$17+(Рычаги!$B$18-Рычаги!$B$17)*(8-3)/15))</f>
        <v>1200</v>
      </c>
      <c r="K21" s="14" t="n">
        <f aca="false">IF(9&lt;3,0,MIN(Рычаги!$B$18,Рычаги!$B$17+(Рычаги!$B$18-Рычаги!$B$17)*(9-3)/15))</f>
        <v>1280</v>
      </c>
      <c r="L21" s="14" t="n">
        <f aca="false">IF(10&lt;3,0,MIN(Рычаги!$B$18,Рычаги!$B$17+(Рычаги!$B$18-Рычаги!$B$17)*(10-3)/15))</f>
        <v>1360</v>
      </c>
      <c r="M21" s="14" t="n">
        <f aca="false">IF(11&lt;3,0,MIN(Рычаги!$B$18,Рычаги!$B$17+(Рычаги!$B$18-Рычаги!$B$17)*(11-3)/15))</f>
        <v>1440</v>
      </c>
      <c r="N21" s="14" t="n">
        <f aca="false">IF(12&lt;3,0,MIN(Рычаги!$B$18,Рычаги!$B$17+(Рычаги!$B$18-Рычаги!$B$17)*(12-3)/15))</f>
        <v>1520</v>
      </c>
      <c r="O21" s="14" t="n">
        <f aca="false">IF(13&lt;3,0,MIN(Рычаги!$B$18,Рычаги!$B$17+(Рычаги!$B$18-Рычаги!$B$17)*(13-3)/15))</f>
        <v>1600</v>
      </c>
      <c r="P21" s="14" t="n">
        <f aca="false">IF(14&lt;3,0,MIN(Рычаги!$B$18,Рычаги!$B$17+(Рычаги!$B$18-Рычаги!$B$17)*(14-3)/15))</f>
        <v>1680</v>
      </c>
      <c r="Q21" s="14" t="n">
        <f aca="false">IF(15&lt;3,0,MIN(Рычаги!$B$18,Рычаги!$B$17+(Рычаги!$B$18-Рычаги!$B$17)*(15-3)/15))</f>
        <v>1760</v>
      </c>
      <c r="R21" s="14" t="n">
        <f aca="false">IF(16&lt;3,0,MIN(Рычаги!$B$18,Рычаги!$B$17+(Рычаги!$B$18-Рычаги!$B$17)*(16-3)/15))</f>
        <v>1840</v>
      </c>
      <c r="S21" s="14" t="n">
        <f aca="false">IF(17&lt;3,0,MIN(Рычаги!$B$18,Рычаги!$B$17+(Рычаги!$B$18-Рычаги!$B$17)*(17-3)/15))</f>
        <v>1920</v>
      </c>
      <c r="T21" s="14" t="n">
        <f aca="false">IF(18&lt;3,0,MIN(Рычаги!$B$18,Рычаги!$B$17+(Рычаги!$B$18-Рычаги!$B$17)*(18-3)/15))</f>
        <v>2000</v>
      </c>
    </row>
    <row r="22" customFormat="false" ht="15" hidden="false" customHeight="false" outlineLevel="0" collapsed="false">
      <c r="A22" s="15" t="s">
        <v>58</v>
      </c>
      <c r="B22" s="2" t="s">
        <v>45</v>
      </c>
      <c r="C22" s="14" t="n">
        <f aca="false">C19*C21</f>
        <v>0</v>
      </c>
      <c r="D22" s="14" t="n">
        <f aca="false">D19*D21</f>
        <v>0</v>
      </c>
      <c r="E22" s="14" t="n">
        <f aca="false">E19*E21</f>
        <v>1600</v>
      </c>
      <c r="F22" s="14" t="n">
        <f aca="false">F19*F21</f>
        <v>3009.6</v>
      </c>
      <c r="G22" s="14" t="n">
        <f aca="false">G19*G21</f>
        <v>5614.08</v>
      </c>
      <c r="H22" s="14" t="n">
        <f aca="false">H19*H21</f>
        <v>10400</v>
      </c>
      <c r="I22" s="14" t="n">
        <f aca="false">I19*I21</f>
        <v>16439.36</v>
      </c>
      <c r="J22" s="14" t="n">
        <f aca="false">J19*J21</f>
        <v>25853.16</v>
      </c>
      <c r="K22" s="14" t="n">
        <f aca="false">K19*K21</f>
        <v>40477.184</v>
      </c>
      <c r="L22" s="14" t="n">
        <f aca="false">L19*L21</f>
        <v>63125.624</v>
      </c>
      <c r="M22" s="14" t="n">
        <f aca="false">M19*M21</f>
        <v>98106.048</v>
      </c>
      <c r="N22" s="14" t="n">
        <f aca="false">N19*N21</f>
        <v>152000</v>
      </c>
      <c r="O22" s="14" t="n">
        <f aca="false">O19*O21</f>
        <v>187137.12</v>
      </c>
      <c r="P22" s="14" t="n">
        <f aca="false">P19*P21</f>
        <v>229820.808</v>
      </c>
      <c r="Q22" s="14" t="n">
        <f aca="false">Q19*Q21</f>
        <v>281600</v>
      </c>
      <c r="R22" s="14" t="n">
        <f aca="false">R19*R21</f>
        <v>344332.264</v>
      </c>
      <c r="S22" s="14" t="n">
        <f aca="false">S19*S21</f>
        <v>420243.648</v>
      </c>
      <c r="T22" s="14" t="n">
        <f aca="false">T19*T21</f>
        <v>512000</v>
      </c>
    </row>
    <row r="23" customFormat="false" ht="15" hidden="false" customHeight="false" outlineLevel="0" collapsed="false">
      <c r="A23" s="4" t="s">
        <v>59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15" t="s">
        <v>60</v>
      </c>
      <c r="B24" s="2" t="s">
        <v>45</v>
      </c>
      <c r="C24" s="14" t="n">
        <f aca="false">C10+C15+C17+C22</f>
        <v>0</v>
      </c>
      <c r="D24" s="14" t="n">
        <f aca="false">D10+D15+D17+D22</f>
        <v>4000</v>
      </c>
      <c r="E24" s="14" t="n">
        <f aca="false">E10+E15+E17+E22</f>
        <v>59600</v>
      </c>
      <c r="F24" s="14" t="n">
        <f aca="false">F10+F15+F17+F22</f>
        <v>61009.6</v>
      </c>
      <c r="G24" s="14" t="n">
        <f aca="false">G10+G15+G17+G22</f>
        <v>63614.08</v>
      </c>
      <c r="H24" s="14" t="n">
        <f aca="false">H10+H15+H17+H22</f>
        <v>110400</v>
      </c>
      <c r="I24" s="14" t="n">
        <f aca="false">I10+I15+I17+I22</f>
        <v>158068.276666667</v>
      </c>
      <c r="J24" s="14" t="n">
        <f aca="false">J10+J15+J17+J22</f>
        <v>226364.493333333</v>
      </c>
      <c r="K24" s="14" t="n">
        <f aca="false">K10+K15+K17+K22</f>
        <v>349188.934</v>
      </c>
      <c r="L24" s="14" t="n">
        <f aca="false">L10+L15+L17+L22</f>
        <v>514276.457333333</v>
      </c>
      <c r="M24" s="14" t="n">
        <f aca="false">M10+M15+M17+M22</f>
        <v>739856.214666667</v>
      </c>
      <c r="N24" s="14" t="n">
        <f aca="false">N10+N15+N17+N22</f>
        <v>1052000</v>
      </c>
      <c r="O24" s="14" t="n">
        <f aca="false">O10+O15+O17+O22</f>
        <v>1310372.16766667</v>
      </c>
      <c r="P24" s="14" t="n">
        <f aca="false">P10+P15+P17+P22</f>
        <v>1630607.383</v>
      </c>
      <c r="Q24" s="14" t="n">
        <f aca="false">Q10+Q15+Q17+Q22</f>
        <v>2027653.75</v>
      </c>
      <c r="R24" s="14" t="n">
        <f aca="false">R10+R15+R17+R22</f>
        <v>2522023.84433333</v>
      </c>
      <c r="S24" s="14" t="n">
        <f aca="false">S10+S15+S17+S22</f>
        <v>3136716.121</v>
      </c>
      <c r="T24" s="14" t="n">
        <f aca="false">T10+T15+T17+T22</f>
        <v>3902000</v>
      </c>
    </row>
    <row r="25" customFormat="false" ht="15" hidden="false" customHeight="false" outlineLevel="0" collapsed="false">
      <c r="A25" s="5" t="s">
        <v>61</v>
      </c>
      <c r="B25" s="2" t="s">
        <v>62</v>
      </c>
      <c r="C25" s="14" t="n">
        <f aca="false">(C10-C9*Рычаги!$B$9+C15+C22)*12</f>
        <v>0</v>
      </c>
      <c r="D25" s="14" t="n">
        <f aca="false">(D10-D9*Рычаги!$B$9+D15+D22)*12</f>
        <v>0</v>
      </c>
      <c r="E25" s="14" t="n">
        <f aca="false">(E10-E9*Рычаги!$B$9+E15+E22)*12</f>
        <v>19200</v>
      </c>
      <c r="F25" s="14" t="n">
        <f aca="false">(F10-F9*Рычаги!$B$9+F15+F22)*12</f>
        <v>36115.2</v>
      </c>
      <c r="G25" s="14" t="n">
        <f aca="false">(G10-G9*Рычаги!$B$9+G15+G22)*12</f>
        <v>67368.96</v>
      </c>
      <c r="H25" s="14" t="n">
        <f aca="false">(H10-H9*Рычаги!$B$9+H15+H22)*12</f>
        <v>724800</v>
      </c>
      <c r="I25" s="14" t="n">
        <f aca="false">(I10-I9*Рычаги!$B$9+I15+I22)*12</f>
        <v>1140879.32</v>
      </c>
      <c r="J25" s="14" t="n">
        <f aca="false">(J10-J9*Рычаги!$B$9+J15+J22)*12</f>
        <v>1763933.92</v>
      </c>
      <c r="K25" s="14" t="n">
        <f aca="false">(K10-K9*Рычаги!$B$9+K15+K22)*12</f>
        <v>2990267.208</v>
      </c>
      <c r="L25" s="14" t="n">
        <f aca="false">(L10-L9*Рычаги!$B$9+L15+L22)*12</f>
        <v>4659437.488</v>
      </c>
      <c r="M25" s="14" t="n">
        <f aca="false">(M10-M9*Рычаги!$B$9+M15+M22)*12</f>
        <v>6973394.576</v>
      </c>
      <c r="N25" s="14" t="n">
        <f aca="false">(N10-N9*Рычаги!$B$9+N15+N22)*12</f>
        <v>10224000</v>
      </c>
      <c r="O25" s="14" t="n">
        <f aca="false">(O10-O9*Рычаги!$B$9+O15+O22)*12</f>
        <v>13030586.012</v>
      </c>
      <c r="P25" s="14" t="n">
        <f aca="false">(P10-P9*Рычаги!$B$9+P15+P22)*12</f>
        <v>16543468.596</v>
      </c>
      <c r="Q25" s="14" t="n">
        <f aca="false">(Q10-Q9*Рычаги!$B$9+Q15+Q22)*12</f>
        <v>20937705</v>
      </c>
      <c r="R25" s="14" t="n">
        <f aca="false">(R10-R9*Рычаги!$B$9+R15+R22)*12</f>
        <v>26454526.132</v>
      </c>
      <c r="S25" s="14" t="n">
        <f aca="false">(S10-S9*Рычаги!$B$9+S15+S22)*12</f>
        <v>33364273.452</v>
      </c>
      <c r="T25" s="14" t="n">
        <f aca="false">(T10-T9*Рычаги!$B$9+T15+T22)*12</f>
        <v>42024000</v>
      </c>
    </row>
    <row r="26" customFormat="false" ht="15" hidden="false" customHeight="false" outlineLevel="0" collapsed="false">
      <c r="A26" s="4" t="s">
        <v>63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5" t="s">
        <v>64</v>
      </c>
      <c r="B27" s="2" t="s">
        <v>65</v>
      </c>
      <c r="C27" s="12" t="n">
        <v>10</v>
      </c>
      <c r="D27" s="12" t="n">
        <v>17.3205</v>
      </c>
      <c r="E27" s="12" t="n">
        <v>30</v>
      </c>
      <c r="F27" s="12" t="n">
        <v>36.7171</v>
      </c>
      <c r="G27" s="12" t="n">
        <v>44.9382</v>
      </c>
      <c r="H27" s="12" t="n">
        <v>55</v>
      </c>
      <c r="I27" s="12" t="n">
        <v>60.2453</v>
      </c>
      <c r="J27" s="12" t="n">
        <v>65.9907</v>
      </c>
      <c r="K27" s="12" t="n">
        <v>72.2842</v>
      </c>
      <c r="L27" s="12" t="n">
        <v>79.1778</v>
      </c>
      <c r="M27" s="12" t="n">
        <v>86.7288</v>
      </c>
      <c r="N27" s="12" t="n">
        <v>95</v>
      </c>
      <c r="O27" s="12" t="n">
        <v>100.73</v>
      </c>
      <c r="P27" s="12" t="n">
        <v>106.8055</v>
      </c>
      <c r="Q27" s="12" t="n">
        <v>113.2475</v>
      </c>
      <c r="R27" s="12" t="n">
        <v>120.0781</v>
      </c>
      <c r="S27" s="12" t="n">
        <v>127.3206</v>
      </c>
      <c r="T27" s="12" t="n">
        <v>135</v>
      </c>
    </row>
    <row r="28" customFormat="false" ht="15" hidden="false" customHeight="false" outlineLevel="0" collapsed="false">
      <c r="A28" s="5" t="s">
        <v>66</v>
      </c>
      <c r="B28" s="2" t="s">
        <v>45</v>
      </c>
      <c r="C28" s="14" t="n">
        <f aca="false">C27*Рычаги!$B$21/12</f>
        <v>125000</v>
      </c>
      <c r="D28" s="14" t="n">
        <f aca="false">D27*Рычаги!$B$21/12</f>
        <v>216506.25</v>
      </c>
      <c r="E28" s="14" t="n">
        <f aca="false">E27*Рычаги!$B$21/12</f>
        <v>375000</v>
      </c>
      <c r="F28" s="14" t="n">
        <f aca="false">F27*Рычаги!$B$21/12</f>
        <v>458963.75</v>
      </c>
      <c r="G28" s="14" t="n">
        <f aca="false">G27*Рычаги!$B$21/12</f>
        <v>561727.5</v>
      </c>
      <c r="H28" s="14" t="n">
        <f aca="false">H27*Рычаги!$B$21/12</f>
        <v>687500</v>
      </c>
      <c r="I28" s="14" t="n">
        <f aca="false">I27*Рычаги!$B$21/12</f>
        <v>753066.25</v>
      </c>
      <c r="J28" s="14" t="n">
        <f aca="false">J27*Рычаги!$B$21/12</f>
        <v>824883.75</v>
      </c>
      <c r="K28" s="14" t="n">
        <f aca="false">K27*Рычаги!$B$21/12</f>
        <v>903552.5</v>
      </c>
      <c r="L28" s="14" t="n">
        <f aca="false">L27*Рычаги!$B$21/12</f>
        <v>989722.5</v>
      </c>
      <c r="M28" s="14" t="n">
        <f aca="false">M27*Рычаги!$B$21/12</f>
        <v>1084110</v>
      </c>
      <c r="N28" s="14" t="n">
        <f aca="false">N27*Рычаги!$B$21/12</f>
        <v>1187500</v>
      </c>
      <c r="O28" s="14" t="n">
        <f aca="false">O27*Рычаги!$B$21/12</f>
        <v>1259125</v>
      </c>
      <c r="P28" s="14" t="n">
        <f aca="false">P27*Рычаги!$B$21/12</f>
        <v>1335068.75</v>
      </c>
      <c r="Q28" s="14" t="n">
        <f aca="false">Q27*Рычаги!$B$21/12</f>
        <v>1415593.75</v>
      </c>
      <c r="R28" s="14" t="n">
        <f aca="false">R27*Рычаги!$B$21/12</f>
        <v>1500976.25</v>
      </c>
      <c r="S28" s="14" t="n">
        <f aca="false">S27*Рычаги!$B$21/12</f>
        <v>1591507.5</v>
      </c>
      <c r="T28" s="14" t="n">
        <f aca="false">T27*Рычаги!$B$21/12</f>
        <v>1687500</v>
      </c>
    </row>
    <row r="29" customFormat="false" ht="15" hidden="false" customHeight="false" outlineLevel="0" collapsed="false">
      <c r="A29" s="5" t="s">
        <v>67</v>
      </c>
      <c r="B29" s="2" t="s">
        <v>45</v>
      </c>
      <c r="C29" s="16" t="n">
        <v>803833.3333</v>
      </c>
      <c r="D29" s="16" t="n">
        <v>1236666.6667</v>
      </c>
      <c r="E29" s="16" t="n">
        <v>1669500</v>
      </c>
      <c r="F29" s="16" t="n">
        <v>1669500</v>
      </c>
      <c r="G29" s="16" t="n">
        <v>1900000</v>
      </c>
      <c r="H29" s="16" t="n">
        <v>2130500</v>
      </c>
      <c r="I29" s="16" t="n">
        <v>2130500</v>
      </c>
      <c r="J29" s="16" t="n">
        <v>2224966.6667</v>
      </c>
      <c r="K29" s="16" t="n">
        <v>2319433.3333</v>
      </c>
      <c r="L29" s="16" t="n">
        <v>2413900</v>
      </c>
      <c r="M29" s="16" t="n">
        <v>2508366.6667</v>
      </c>
      <c r="N29" s="16" t="n">
        <v>2602833.3333</v>
      </c>
      <c r="O29" s="16" t="n">
        <v>2602833.3333</v>
      </c>
      <c r="P29" s="16" t="n">
        <v>2788366.6667</v>
      </c>
      <c r="Q29" s="16" t="n">
        <v>2973900</v>
      </c>
      <c r="R29" s="16" t="n">
        <v>3159433.3333</v>
      </c>
      <c r="S29" s="16" t="n">
        <v>3344966.6667</v>
      </c>
      <c r="T29" s="16" t="n">
        <v>3530500</v>
      </c>
    </row>
    <row r="30" customFormat="false" ht="15" hidden="false" customHeight="false" outlineLevel="0" collapsed="false">
      <c r="A30" s="5" t="s">
        <v>68</v>
      </c>
      <c r="B30" s="2" t="s">
        <v>45</v>
      </c>
      <c r="C30" s="14" t="n">
        <f aca="false">C29-C28</f>
        <v>678833.3333</v>
      </c>
      <c r="D30" s="14" t="n">
        <f aca="false">D29-D28</f>
        <v>1020160.4167</v>
      </c>
      <c r="E30" s="14" t="n">
        <f aca="false">E29-E28</f>
        <v>1294500</v>
      </c>
      <c r="F30" s="14" t="n">
        <f aca="false">F29-F28</f>
        <v>1210536.25</v>
      </c>
      <c r="G30" s="14" t="n">
        <f aca="false">G29-G28</f>
        <v>1338272.5</v>
      </c>
      <c r="H30" s="14" t="n">
        <f aca="false">H29-H28</f>
        <v>1443000</v>
      </c>
      <c r="I30" s="14" t="n">
        <f aca="false">I29-I28</f>
        <v>1377433.75</v>
      </c>
      <c r="J30" s="14" t="n">
        <f aca="false">J29-J28</f>
        <v>1400082.9167</v>
      </c>
      <c r="K30" s="14" t="n">
        <f aca="false">K29-K28</f>
        <v>1415880.8333</v>
      </c>
      <c r="L30" s="14" t="n">
        <f aca="false">L29-L28</f>
        <v>1424177.5</v>
      </c>
      <c r="M30" s="14" t="n">
        <f aca="false">M29-M28</f>
        <v>1424256.6667</v>
      </c>
      <c r="N30" s="14" t="n">
        <f aca="false">N29-N28</f>
        <v>1415333.3333</v>
      </c>
      <c r="O30" s="14" t="n">
        <f aca="false">O29-O28</f>
        <v>1343708.3333</v>
      </c>
      <c r="P30" s="14" t="n">
        <f aca="false">P29-P28</f>
        <v>1453297.9167</v>
      </c>
      <c r="Q30" s="14" t="n">
        <f aca="false">Q29-Q28</f>
        <v>1558306.25</v>
      </c>
      <c r="R30" s="14" t="n">
        <f aca="false">R29-R28</f>
        <v>1658457.0833</v>
      </c>
      <c r="S30" s="14" t="n">
        <f aca="false">S29-S28</f>
        <v>1753459.1667</v>
      </c>
      <c r="T30" s="14" t="n">
        <f aca="false">T29-T28</f>
        <v>1843000</v>
      </c>
    </row>
    <row r="31" customFormat="false" ht="15" hidden="false" customHeight="false" outlineLevel="0" collapsed="false">
      <c r="A31" s="15" t="s">
        <v>69</v>
      </c>
      <c r="B31" s="2" t="s">
        <v>45</v>
      </c>
      <c r="C31" s="14" t="n">
        <f aca="false">C24-C29</f>
        <v>-803833.3333</v>
      </c>
      <c r="D31" s="14" t="n">
        <f aca="false">D24-D29</f>
        <v>-1232666.6667</v>
      </c>
      <c r="E31" s="14" t="n">
        <f aca="false">E24-E29</f>
        <v>-1609900</v>
      </c>
      <c r="F31" s="14" t="n">
        <f aca="false">F24-F29</f>
        <v>-1608490.4</v>
      </c>
      <c r="G31" s="14" t="n">
        <f aca="false">G24-G29</f>
        <v>-1836385.92</v>
      </c>
      <c r="H31" s="14" t="n">
        <f aca="false">H24-H29</f>
        <v>-2020100</v>
      </c>
      <c r="I31" s="14" t="n">
        <f aca="false">I24-I29</f>
        <v>-1972431.72333333</v>
      </c>
      <c r="J31" s="14" t="n">
        <f aca="false">J24-J29</f>
        <v>-1998602.17336667</v>
      </c>
      <c r="K31" s="14" t="n">
        <f aca="false">K24-K29</f>
        <v>-1970244.3993</v>
      </c>
      <c r="L31" s="14" t="n">
        <f aca="false">L24-L29</f>
        <v>-1899623.54266667</v>
      </c>
      <c r="M31" s="14" t="n">
        <f aca="false">M24-M29</f>
        <v>-1768510.45203333</v>
      </c>
      <c r="N31" s="14" t="n">
        <f aca="false">N24-N29</f>
        <v>-1550833.3333</v>
      </c>
      <c r="O31" s="14" t="n">
        <f aca="false">O24-O29</f>
        <v>-1292461.16563333</v>
      </c>
      <c r="P31" s="14" t="n">
        <f aca="false">P24-P29</f>
        <v>-1157759.2837</v>
      </c>
      <c r="Q31" s="14" t="n">
        <f aca="false">Q24-Q29</f>
        <v>-946246.25</v>
      </c>
      <c r="R31" s="14" t="n">
        <f aca="false">R24-R29</f>
        <v>-637409.488966667</v>
      </c>
      <c r="S31" s="14" t="n">
        <f aca="false">S24-S29</f>
        <v>-208250.5457</v>
      </c>
      <c r="T31" s="14" t="n">
        <f aca="false">T24-T29</f>
        <v>371500</v>
      </c>
    </row>
    <row r="32" customFormat="false" ht="15" hidden="false" customHeight="false" outlineLevel="0" collapsed="false">
      <c r="A32" s="15" t="s">
        <v>70</v>
      </c>
      <c r="B32" s="2" t="s">
        <v>62</v>
      </c>
      <c r="C32" s="14" t="n">
        <f aca="false">Рычаги!$B$23+C31</f>
        <v>49196166.6667</v>
      </c>
      <c r="D32" s="14" t="n">
        <f aca="false">C32+D31</f>
        <v>47963500</v>
      </c>
      <c r="E32" s="14" t="n">
        <f aca="false">D32+E31</f>
        <v>46353600</v>
      </c>
      <c r="F32" s="14" t="n">
        <f aca="false">E32+F31</f>
        <v>44745109.6</v>
      </c>
      <c r="G32" s="14" t="n">
        <f aca="false">F32+G31</f>
        <v>42908723.68</v>
      </c>
      <c r="H32" s="14" t="n">
        <f aca="false">G32+H31</f>
        <v>40888623.68</v>
      </c>
      <c r="I32" s="14" t="n">
        <f aca="false">H32+I31</f>
        <v>38916191.9566667</v>
      </c>
      <c r="J32" s="14" t="n">
        <f aca="false">I32+J31</f>
        <v>36917589.7833</v>
      </c>
      <c r="K32" s="14" t="n">
        <f aca="false">J32+K31</f>
        <v>34947345.384</v>
      </c>
      <c r="L32" s="14" t="n">
        <f aca="false">K32+L31</f>
        <v>33047721.8413333</v>
      </c>
      <c r="M32" s="14" t="n">
        <f aca="false">L32+M31</f>
        <v>31279211.3893</v>
      </c>
      <c r="N32" s="14" t="n">
        <f aca="false">M32+N31</f>
        <v>29728378.056</v>
      </c>
      <c r="O32" s="14" t="n">
        <f aca="false">N32+O31</f>
        <v>28435916.8903667</v>
      </c>
      <c r="P32" s="14" t="n">
        <f aca="false">O32+P31</f>
        <v>27278157.6066667</v>
      </c>
      <c r="Q32" s="14" t="n">
        <f aca="false">P32+Q31</f>
        <v>26331911.3566667</v>
      </c>
      <c r="R32" s="14" t="n">
        <f aca="false">Q32+R31</f>
        <v>25694501.8677</v>
      </c>
      <c r="S32" s="14" t="n">
        <f aca="false">R32+S31</f>
        <v>25486251.322</v>
      </c>
      <c r="T32" s="14" t="n">
        <f aca="false">S32+T31</f>
        <v>25857751.322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15" hidden="false" customHeight="false" outlineLevel="0" collapsed="false">
      <c r="A4" s="3" t="s">
        <v>73</v>
      </c>
      <c r="B4" s="3" t="s">
        <v>74</v>
      </c>
      <c r="C4" s="3" t="s">
        <v>75</v>
      </c>
      <c r="D4" s="3" t="s">
        <v>76</v>
      </c>
    </row>
    <row r="5" customFormat="false" ht="15" hidden="false" customHeight="false" outlineLevel="0" collapsed="false">
      <c r="A5" s="17" t="s">
        <v>77</v>
      </c>
      <c r="B5" s="6" t="n">
        <v>42000000</v>
      </c>
      <c r="C5" s="18" t="n">
        <f aca="false">Модель!T25</f>
        <v>42024000</v>
      </c>
      <c r="D5" s="19" t="str">
        <f aca="false">IF(ABS(C5-B5)&lt;=1500000,"да","НЕТ")</f>
        <v>да</v>
      </c>
    </row>
    <row r="6" customFormat="false" ht="15" hidden="false" customHeight="false" outlineLevel="0" collapsed="false">
      <c r="A6" s="17" t="s">
        <v>78</v>
      </c>
      <c r="B6" s="6" t="n">
        <v>3600000</v>
      </c>
      <c r="C6" s="18" t="n">
        <f aca="false">Модель!T24</f>
        <v>3902000</v>
      </c>
      <c r="D6" s="19" t="str">
        <f aca="false">IF(ABS(C6-B6)&lt;=400000,"да","НЕТ")</f>
        <v>да</v>
      </c>
    </row>
    <row r="7" customFormat="false" ht="15" hidden="false" customHeight="false" outlineLevel="0" collapsed="false">
      <c r="A7" s="17" t="s">
        <v>79</v>
      </c>
      <c r="B7" s="6" t="n">
        <v>4000000</v>
      </c>
      <c r="C7" s="18" t="n">
        <f aca="false">Модель!T29</f>
        <v>3530500</v>
      </c>
      <c r="D7" s="19" t="str">
        <f aca="false">IF(ABS(C7-B7)&lt;=400000,"да","НЕТ")</f>
        <v>НЕТ</v>
      </c>
    </row>
    <row r="8" customFormat="false" ht="15" hidden="false" customHeight="false" outlineLevel="0" collapsed="false">
      <c r="A8" s="17" t="s">
        <v>80</v>
      </c>
      <c r="B8" s="6" t="n">
        <v>-350000</v>
      </c>
      <c r="C8" s="18" t="n">
        <f aca="false">Модель!T31</f>
        <v>371500</v>
      </c>
      <c r="D8" s="19" t="str">
        <f aca="false">IF(ABS(C8-B8)&lt;=300000,"да","НЕТ")</f>
        <v>НЕТ</v>
      </c>
    </row>
    <row r="9" customFormat="false" ht="15" hidden="false" customHeight="false" outlineLevel="0" collapsed="false">
      <c r="A9" s="17" t="s">
        <v>81</v>
      </c>
      <c r="B9" s="6" t="n">
        <v>21000000</v>
      </c>
      <c r="C9" s="18" t="n">
        <f aca="false">Модель!T32</f>
        <v>25857751.322</v>
      </c>
      <c r="D9" s="19" t="str">
        <f aca="false">IF(ABS(C9-B9)&lt;=2000000,"да","НЕТ")</f>
        <v>НЕТ</v>
      </c>
    </row>
    <row r="10" customFormat="false" ht="15" hidden="false" customHeight="false" outlineLevel="0" collapsed="false">
      <c r="A10" s="17" t="s">
        <v>82</v>
      </c>
      <c r="B10" s="8" t="n">
        <v>157</v>
      </c>
      <c r="C10" s="20" t="n">
        <f aca="false">Модель!T6</f>
        <v>157</v>
      </c>
      <c r="D10" s="19" t="str">
        <f aca="false">IF(ABS(C10-B10)&lt;=5,"да","НЕТ")</f>
        <v>да</v>
      </c>
    </row>
    <row r="11" customFormat="false" ht="15" hidden="false" customHeight="false" outlineLevel="0" collapsed="false">
      <c r="A11" s="17" t="s">
        <v>83</v>
      </c>
      <c r="B11" s="8" t="n">
        <v>63500</v>
      </c>
      <c r="C11" s="20" t="n">
        <f aca="false">Модель!T12</f>
        <v>63500</v>
      </c>
      <c r="D11" s="19" t="str">
        <f aca="false">IF(ABS(C11-B11)&lt;=2000,"да","НЕТ")</f>
        <v>да</v>
      </c>
    </row>
    <row r="12" customFormat="false" ht="15" hidden="false" customHeight="false" outlineLevel="0" collapsed="false">
      <c r="A12" s="17" t="s">
        <v>84</v>
      </c>
      <c r="B12" s="8" t="n">
        <v>256</v>
      </c>
      <c r="C12" s="20" t="n">
        <f aca="false">Модель!T19</f>
        <v>256</v>
      </c>
      <c r="D12" s="19" t="str">
        <f aca="false">IF(ABS(C12-B12)&lt;=10,"да","НЕТ")</f>
        <v>да</v>
      </c>
    </row>
    <row r="13" customFormat="false" ht="15" hidden="false" customHeight="false" outlineLevel="0" collapsed="false">
      <c r="A13" s="17" t="s">
        <v>85</v>
      </c>
      <c r="B13" s="8" t="n">
        <v>1600000</v>
      </c>
      <c r="C13" s="20" t="n">
        <f aca="false">Модель!T14</f>
        <v>2068292.6484</v>
      </c>
      <c r="D13" s="19" t="str">
        <f aca="false">IF(ABS(C13-B13)&lt;=300000,"да","НЕТ")</f>
        <v>НЕТ</v>
      </c>
    </row>
    <row r="14" customFormat="false" ht="15" hidden="false" customHeight="false" outlineLevel="0" collapsed="false">
      <c r="A14" s="17" t="s">
        <v>86</v>
      </c>
      <c r="B14" s="8" t="n">
        <v>135</v>
      </c>
      <c r="C14" s="20" t="n">
        <f aca="false">Модель!T27</f>
        <v>135</v>
      </c>
      <c r="D14" s="19" t="str">
        <f aca="false">IF(ABS(C14-B14)&lt;=5,"да","НЕТ")</f>
        <v>да</v>
      </c>
    </row>
    <row r="16" customFormat="false" ht="15" hidden="false" customHeight="false" outlineLevel="0" collapsed="false">
      <c r="A16" s="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2026-09-28T11:01:48Z</dcterms:created>
  <dc:creator>openpyxl</dc:creator>
  <dc:description/>
  <dc:language>en-US</dc:language>
  <cp:lastModifiedBy/>
  <dcterms:modified xsi:type="dcterms:W3CDTF">2026-09-28T11:01:48Z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