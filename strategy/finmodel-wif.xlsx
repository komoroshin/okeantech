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Рычаги" sheetId="1" state="visible" r:id="rId3"/>
    <sheet name="Модель" sheetId="2" state="visible" r:id="rId4"/>
    <sheet name="Проверки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<sst xmlns="http://schemas.openxmlformats.org/spreadsheetml/2006/main" count="133" uniqueCount="97">
  <si>
    <t xml:space="preserve">Рычаги финмодели WIF</t>
  </si>
  <si>
    <t xml:space="preserve">Синим — то, что правится руками. Жёлтым — допущения, которых в стратегии нет и которые первыми надо заменить фактом.</t>
  </si>
  <si>
    <t xml:space="preserve">Рычаг</t>
  </si>
  <si>
    <t xml:space="preserve">Значение</t>
  </si>
  <si>
    <t xml:space="preserve">Откуда</t>
  </si>
  <si>
    <t xml:space="preserve">ТРУД · ИИ-СОТРУДНИКИ</t>
  </si>
  <si>
    <t xml:space="preserve">Средний платёж на старте, $/мес</t>
  </si>
  <si>
    <t xml:space="preserve">target-state-18m.md, roles.md: первые контракты от $5 тыс.</t>
  </si>
  <si>
    <t xml:space="preserve">Средний платёж к мес. 18, $/мес</t>
  </si>
  <si>
    <t xml:space="preserve">target-state-18m.md</t>
  </si>
  <si>
    <t xml:space="preserve">Отток компаний в месяц</t>
  </si>
  <si>
    <t xml:space="preserve">target-state-18m.md: не выше 1%</t>
  </si>
  <si>
    <t xml:space="preserve">Цена пилота, $ разово</t>
  </si>
  <si>
    <t xml:space="preserve">90-day-plan.md: $3–5 тыс., оплата вперёд</t>
  </si>
  <si>
    <t xml:space="preserve">Месяц выхода на платящих</t>
  </si>
  <si>
    <t xml:space="preserve">roles.md: мес. 6 — первые контракты $5 тыс./мес</t>
  </si>
  <si>
    <t xml:space="preserve">ЛИЧНОСТЬ · ПЕРСОНАЖИ</t>
  </si>
  <si>
    <t xml:space="preserve">Цена подписки, $/мес</t>
  </si>
  <si>
    <t xml:space="preserve">Отток подписчиков в месяц</t>
  </si>
  <si>
    <t xml:space="preserve">Конверсия посетителя в подписку</t>
  </si>
  <si>
    <t xml:space="preserve">Средний чек сделки с брендом, $</t>
  </si>
  <si>
    <t xml:space="preserve">КАПИТАЛ · УЧЁТ РАСХОДОВ НА ИИ</t>
  </si>
  <si>
    <t xml:space="preserve">Допущение: в стратегии нет. Ориентир — оффер $500–2000/мес из 90-day-plan.md</t>
  </si>
  <si>
    <t xml:space="preserve">Допущение: в стратегии нет. Самообслуживание, отток выше, чем в Труде</t>
  </si>
  <si>
    <t xml:space="preserve">КОМАНДА</t>
  </si>
  <si>
    <t xml:space="preserve">Полная стоимость ставки, $/год</t>
  </si>
  <si>
    <t xml:space="preserve">roles.md: вилка $120–200 тыс. Взята середина — допущение</t>
  </si>
  <si>
    <t xml:space="preserve">ДЕНЬГИ</t>
  </si>
  <si>
    <t xml:space="preserve">Раунд, $</t>
  </si>
  <si>
    <t xml:space="preserve">Дека v10, слайд 12</t>
  </si>
  <si>
    <t xml:space="preserve">Этап 1, мес. 1–3, $</t>
  </si>
  <si>
    <t xml:space="preserve">90-day-plan.md, дека v10 слайд 14</t>
  </si>
  <si>
    <t xml:space="preserve">Этап 2, мес. 4–6, $</t>
  </si>
  <si>
    <t xml:space="preserve">Дека v10, слайд 14</t>
  </si>
  <si>
    <t xml:space="preserve">Этап 3, мес. 7–12, $</t>
  </si>
  <si>
    <t xml:space="preserve">Этап 4, мес. 13–18, $</t>
  </si>
  <si>
    <t xml:space="preserve">Резерв, $</t>
  </si>
  <si>
    <t xml:space="preserve">Модель по месяцам · базовый сценарий</t>
  </si>
  <si>
    <t xml:space="preserve">Синие строки — вводные: поток новых клиентов (план продаж), визиты, штат, расход. Всё остальное — формулы: база = прошлый месяц × (1 − отток) + новые. Поменяй поток или отток — пересчитается выручка, касса и проверки.</t>
  </si>
  <si>
    <t xml:space="preserve">Месяц</t>
  </si>
  <si>
    <t xml:space="preserve">Единица</t>
  </si>
  <si>
    <t xml:space="preserve">Новых компаний за месяц</t>
  </si>
  <si>
    <t xml:space="preserve">шт.</t>
  </si>
  <si>
    <t xml:space="preserve">Активных компаний</t>
  </si>
  <si>
    <t xml:space="preserve">Средний платёж</t>
  </si>
  <si>
    <t xml:space="preserve">$/мес</t>
  </si>
  <si>
    <t xml:space="preserve">Пилотов запущено</t>
  </si>
  <si>
    <t xml:space="preserve">Выручка Труда</t>
  </si>
  <si>
    <t xml:space="preserve">Визитов на платное предложение</t>
  </si>
  <si>
    <t xml:space="preserve">чел./мес</t>
  </si>
  <si>
    <t xml:space="preserve">Новых подписчиков за месяц</t>
  </si>
  <si>
    <t xml:space="preserve">чел.</t>
  </si>
  <si>
    <t xml:space="preserve">Платных подписчиков</t>
  </si>
  <si>
    <t xml:space="preserve">Выручка подписки</t>
  </si>
  <si>
    <t xml:space="preserve">Сделок с брендами</t>
  </si>
  <si>
    <t xml:space="preserve">шт./мес</t>
  </si>
  <si>
    <t xml:space="preserve">Выручка от брендов</t>
  </si>
  <si>
    <t xml:space="preserve">Платящих компаний</t>
  </si>
  <si>
    <t xml:space="preserve">Выручка Капитала</t>
  </si>
  <si>
    <t xml:space="preserve">ВЫРУЧКА</t>
  </si>
  <si>
    <t xml:space="preserve">Выручка всего</t>
  </si>
  <si>
    <t xml:space="preserve">ARR (без брендов и пилотов)</t>
  </si>
  <si>
    <t xml:space="preserve">$</t>
  </si>
  <si>
    <t xml:space="preserve">РАСХОДЫ И ДЕНЬГИ</t>
  </si>
  <si>
    <t xml:space="preserve">Штат</t>
  </si>
  <si>
    <t xml:space="preserve">ставок</t>
  </si>
  <si>
    <t xml:space="preserve">ФОТ</t>
  </si>
  <si>
    <t xml:space="preserve">Расход всего</t>
  </si>
  <si>
    <t xml:space="preserve">В том числе всё, кроме людей</t>
  </si>
  <si>
    <t xml:space="preserve">Чистый поток</t>
  </si>
  <si>
    <t xml:space="preserve">Деньги на счету</t>
  </si>
  <si>
    <t xml:space="preserve">Сверка с бюджетом этапов (должно быть 0)</t>
  </si>
  <si>
    <t xml:space="preserve">Этап 1: расход по месяцам минус бюджет</t>
  </si>
  <si>
    <t xml:space="preserve">Этап 2: расход по месяцам минус бюджет</t>
  </si>
  <si>
    <t xml:space="preserve">Этап 3: расход по месяцам минус бюджет</t>
  </si>
  <si>
    <t xml:space="preserve">Этап 4: расход по месяцам минус бюджет</t>
  </si>
  <si>
    <t xml:space="preserve">Сходимость со стратегией</t>
  </si>
  <si>
    <t xml:space="preserve">Модель считает по своим формулам, колонка «В стратегии» — то, что написано в target-state-18m.md и деке v10. «Не меньше» — цель со знаком «+», засчитывается от 85%. Расхождение означает, что в одном из двух мест цифру надо поправить.</t>
  </si>
  <si>
    <t xml:space="preserve">Что сверяем</t>
  </si>
  <si>
    <t xml:space="preserve">В стратегии</t>
  </si>
  <si>
    <t xml:space="preserve">В модели</t>
  </si>
  <si>
    <t xml:space="preserve">Сходится</t>
  </si>
  <si>
    <t xml:space="preserve">ARR группы в 18-м месяце</t>
  </si>
  <si>
    <t xml:space="preserve">Выручка 18-го месяца без брендов</t>
  </si>
  <si>
    <t xml:space="preserve">Выручка 18-го месяца с брендами</t>
  </si>
  <si>
    <t xml:space="preserve">Расход 18-го месяца</t>
  </si>
  <si>
    <t xml:space="preserve">Чистый поток 18-го месяца</t>
  </si>
  <si>
    <t xml:space="preserve">Деньги на счету в 18-м месяце</t>
  </si>
  <si>
    <t xml:space="preserve">Труд: база в мес. 6, не меньше</t>
  </si>
  <si>
    <t xml:space="preserve">Труд: база в мес. 15, не меньше</t>
  </si>
  <si>
    <t xml:space="preserve">Труд: база в мес. 18</t>
  </si>
  <si>
    <t xml:space="preserve">Капитал: база в мес. 6, не меньше</t>
  </si>
  <si>
    <t xml:space="preserve">Капитал: база в мес. 15, не меньше</t>
  </si>
  <si>
    <t xml:space="preserve">Капитал: база в мес. 18</t>
  </si>
  <si>
    <t xml:space="preserve">Личность: подписчиков в мес. 18</t>
  </si>
  <si>
    <t xml:space="preserve">Штат к 18-му месяцу</t>
  </si>
  <si>
    <t xml:space="preserve">Допуск для точных целей — в формуле колонки «Сходится», под порядок величины.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</si>
</sst>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"/>
    <numFmt numFmtId="167" formatCode="#,##0;\(#,##0\);\-"/>
    <numFmt numFmtId="168" formatCode="0.0"/>
    <numFmt numFmtId="169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/>
      <c r="C5" s="4"/>
    </row>
    <row r="6" customFormat="false" ht="15" hidden="false" customHeight="false" outlineLevel="0" collapsed="false">
      <c r="A6" s="5" t="s">
        <v>6</v>
      </c>
      <c r="B6" s="6" t="n">
        <v>5000</v>
      </c>
      <c r="C6" s="2" t="s">
        <v>7</v>
      </c>
    </row>
    <row r="7" customFormat="false" ht="15" hidden="false" customHeight="false" outlineLevel="0" collapsed="false">
      <c r="A7" s="5" t="s">
        <v>8</v>
      </c>
      <c r="B7" s="6" t="n">
        <v>15000</v>
      </c>
      <c r="C7" s="2" t="s">
        <v>9</v>
      </c>
    </row>
    <row r="8" customFormat="false" ht="15" hidden="false" customHeight="false" outlineLevel="0" collapsed="false">
      <c r="A8" s="5" t="s">
        <v>10</v>
      </c>
      <c r="B8" s="7" t="n">
        <v>0.01</v>
      </c>
      <c r="C8" s="2" t="s">
        <v>11</v>
      </c>
    </row>
    <row r="9" customFormat="false" ht="15" hidden="false" customHeight="false" outlineLevel="0" collapsed="false">
      <c r="A9" s="5" t="s">
        <v>12</v>
      </c>
      <c r="B9" s="6" t="n">
        <v>4000</v>
      </c>
      <c r="C9" s="2" t="s">
        <v>13</v>
      </c>
    </row>
    <row r="10" customFormat="false" ht="15" hidden="false" customHeight="false" outlineLevel="0" collapsed="false">
      <c r="A10" s="5" t="s">
        <v>14</v>
      </c>
      <c r="B10" s="8" t="n">
        <v>6</v>
      </c>
      <c r="C10" s="2" t="s">
        <v>15</v>
      </c>
    </row>
    <row r="11" customFormat="false" ht="15" hidden="false" customHeight="false" outlineLevel="0" collapsed="false">
      <c r="A11" s="4" t="s">
        <v>16</v>
      </c>
      <c r="B11" s="4"/>
      <c r="C11" s="4"/>
    </row>
    <row r="12" customFormat="false" ht="15" hidden="false" customHeight="false" outlineLevel="0" collapsed="false">
      <c r="A12" s="5" t="s">
        <v>17</v>
      </c>
      <c r="B12" s="8" t="n">
        <v>10</v>
      </c>
      <c r="C12" s="2" t="s">
        <v>9</v>
      </c>
    </row>
    <row r="13" customFormat="false" ht="15" hidden="false" customHeight="false" outlineLevel="0" collapsed="false">
      <c r="A13" s="5" t="s">
        <v>18</v>
      </c>
      <c r="B13" s="7" t="n">
        <v>0.08</v>
      </c>
      <c r="C13" s="2" t="s">
        <v>9</v>
      </c>
    </row>
    <row r="14" customFormat="false" ht="15" hidden="false" customHeight="false" outlineLevel="0" collapsed="false">
      <c r="A14" s="5" t="s">
        <v>19</v>
      </c>
      <c r="B14" s="7" t="n">
        <v>0.01</v>
      </c>
      <c r="C14" s="2" t="s">
        <v>9</v>
      </c>
    </row>
    <row r="15" customFormat="false" ht="15" hidden="false" customHeight="false" outlineLevel="0" collapsed="false">
      <c r="A15" s="5" t="s">
        <v>20</v>
      </c>
      <c r="B15" s="6" t="n">
        <v>50000</v>
      </c>
      <c r="C15" s="2" t="s">
        <v>9</v>
      </c>
    </row>
    <row r="16" customFormat="false" ht="15" hidden="false" customHeight="false" outlineLevel="0" collapsed="false">
      <c r="A16" s="4" t="s">
        <v>21</v>
      </c>
      <c r="B16" s="4"/>
      <c r="C16" s="4"/>
    </row>
    <row r="17" customFormat="false" ht="15" hidden="false" customHeight="false" outlineLevel="0" collapsed="false">
      <c r="A17" s="5" t="s">
        <v>6</v>
      </c>
      <c r="B17" s="9" t="n">
        <v>800</v>
      </c>
      <c r="C17" s="2" t="s">
        <v>22</v>
      </c>
    </row>
    <row r="18" customFormat="false" ht="15" hidden="false" customHeight="false" outlineLevel="0" collapsed="false">
      <c r="A18" s="5" t="s">
        <v>8</v>
      </c>
      <c r="B18" s="6" t="n">
        <v>2000</v>
      </c>
      <c r="C18" s="2" t="s">
        <v>9</v>
      </c>
    </row>
    <row r="19" customFormat="false" ht="15" hidden="false" customHeight="false" outlineLevel="0" collapsed="false">
      <c r="A19" s="5" t="s">
        <v>10</v>
      </c>
      <c r="B19" s="10" t="n">
        <v>0.015</v>
      </c>
      <c r="C19" s="2" t="s">
        <v>23</v>
      </c>
    </row>
    <row r="20" customFormat="false" ht="15" hidden="false" customHeight="false" outlineLevel="0" collapsed="false">
      <c r="A20" s="4" t="s">
        <v>24</v>
      </c>
      <c r="B20" s="4"/>
      <c r="C20" s="4"/>
    </row>
    <row r="21" customFormat="false" ht="15" hidden="false" customHeight="false" outlineLevel="0" collapsed="false">
      <c r="A21" s="5" t="s">
        <v>25</v>
      </c>
      <c r="B21" s="9" t="n">
        <v>150000</v>
      </c>
      <c r="C21" s="2" t="s">
        <v>26</v>
      </c>
    </row>
    <row r="22" customFormat="false" ht="15" hidden="false" customHeight="false" outlineLevel="0" collapsed="false">
      <c r="A22" s="4" t="s">
        <v>27</v>
      </c>
      <c r="B22" s="4"/>
      <c r="C22" s="4"/>
    </row>
    <row r="23" customFormat="false" ht="15" hidden="false" customHeight="false" outlineLevel="0" collapsed="false">
      <c r="A23" s="5" t="s">
        <v>28</v>
      </c>
      <c r="B23" s="6" t="n">
        <v>50000000</v>
      </c>
      <c r="C23" s="2" t="s">
        <v>29</v>
      </c>
    </row>
    <row r="24" customFormat="false" ht="15" hidden="false" customHeight="false" outlineLevel="0" collapsed="false">
      <c r="A24" s="5" t="s">
        <v>30</v>
      </c>
      <c r="B24" s="6" t="n">
        <v>3710000</v>
      </c>
      <c r="C24" s="2" t="s">
        <v>31</v>
      </c>
    </row>
    <row r="25" customFormat="false" ht="15" hidden="false" customHeight="false" outlineLevel="0" collapsed="false">
      <c r="A25" s="5" t="s">
        <v>32</v>
      </c>
      <c r="B25" s="6" t="n">
        <v>5700000</v>
      </c>
      <c r="C25" s="2" t="s">
        <v>33</v>
      </c>
    </row>
    <row r="26" customFormat="false" ht="15" hidden="false" customHeight="false" outlineLevel="0" collapsed="false">
      <c r="A26" s="5" t="s">
        <v>34</v>
      </c>
      <c r="B26" s="6" t="n">
        <v>14200000</v>
      </c>
      <c r="C26" s="2" t="s">
        <v>33</v>
      </c>
    </row>
    <row r="27" customFormat="false" ht="15" hidden="false" customHeight="false" outlineLevel="0" collapsed="false">
      <c r="A27" s="5" t="s">
        <v>35</v>
      </c>
      <c r="B27" s="6" t="n">
        <v>18400000</v>
      </c>
      <c r="C27" s="2" t="s">
        <v>33</v>
      </c>
    </row>
    <row r="28" customFormat="false" ht="15" hidden="false" customHeight="false" outlineLevel="0" collapsed="false">
      <c r="A28" s="5" t="s">
        <v>36</v>
      </c>
      <c r="B28" s="6" t="n">
        <v>8000000</v>
      </c>
      <c r="C28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1"/>
    <col collapsed="false" customWidth="true" hidden="false" outlineLevel="0" max="20" min="3" style="0" width="10"/>
  </cols>
  <sheetData>
    <row r="1" customFormat="false" ht="16.1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15" hidden="false" customHeight="false" outlineLevel="0" collapsed="false">
      <c r="A4" s="3" t="s">
        <v>39</v>
      </c>
      <c r="B4" s="3" t="s">
        <v>40</v>
      </c>
      <c r="C4" s="11" t="n">
        <v>1</v>
      </c>
      <c r="D4" s="11" t="n">
        <v>2</v>
      </c>
      <c r="E4" s="11" t="n">
        <v>3</v>
      </c>
      <c r="F4" s="11" t="n">
        <v>4</v>
      </c>
      <c r="G4" s="11" t="n">
        <v>5</v>
      </c>
      <c r="H4" s="11" t="n">
        <v>6</v>
      </c>
      <c r="I4" s="11" t="n">
        <v>7</v>
      </c>
      <c r="J4" s="11" t="n">
        <v>8</v>
      </c>
      <c r="K4" s="11" t="n">
        <v>9</v>
      </c>
      <c r="L4" s="11" t="n">
        <v>10</v>
      </c>
      <c r="M4" s="11" t="n">
        <v>11</v>
      </c>
      <c r="N4" s="11" t="n">
        <v>12</v>
      </c>
      <c r="O4" s="11" t="n">
        <v>13</v>
      </c>
      <c r="P4" s="11" t="n">
        <v>14</v>
      </c>
      <c r="Q4" s="11" t="n">
        <v>15</v>
      </c>
      <c r="R4" s="11" t="n">
        <v>16</v>
      </c>
      <c r="S4" s="11" t="n">
        <v>17</v>
      </c>
      <c r="T4" s="11" t="n">
        <v>18</v>
      </c>
    </row>
    <row r="5" customFormat="false" ht="15" hidden="false" customHeight="fals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</row>
    <row r="6" customFormat="false" ht="15" hidden="false" customHeight="false" outlineLevel="0" collapsed="false">
      <c r="A6" s="5" t="s">
        <v>41</v>
      </c>
      <c r="B6" s="2" t="s">
        <v>42</v>
      </c>
      <c r="C6" s="12" t="n">
        <v>0</v>
      </c>
      <c r="D6" s="12" t="n">
        <v>0</v>
      </c>
      <c r="E6" s="12" t="n">
        <v>0</v>
      </c>
      <c r="F6" s="12" t="n">
        <v>1.4558</v>
      </c>
      <c r="G6" s="12" t="n">
        <v>2.9116</v>
      </c>
      <c r="H6" s="12" t="n">
        <v>4.3674</v>
      </c>
      <c r="I6" s="12" t="n">
        <v>5.6395</v>
      </c>
      <c r="J6" s="12" t="n">
        <v>6.9116</v>
      </c>
      <c r="K6" s="12" t="n">
        <v>8.1837</v>
      </c>
      <c r="L6" s="12" t="n">
        <v>9.4558</v>
      </c>
      <c r="M6" s="12" t="n">
        <v>10.7279</v>
      </c>
      <c r="N6" s="12" t="n">
        <v>12</v>
      </c>
      <c r="O6" s="12" t="n">
        <v>13.5</v>
      </c>
      <c r="P6" s="12" t="n">
        <v>15</v>
      </c>
      <c r="Q6" s="12" t="n">
        <v>16.5</v>
      </c>
      <c r="R6" s="12" t="n">
        <v>18</v>
      </c>
      <c r="S6" s="12" t="n">
        <v>19.5</v>
      </c>
      <c r="T6" s="12" t="n">
        <v>21</v>
      </c>
    </row>
    <row r="7" customFormat="false" ht="15" hidden="false" customHeight="false" outlineLevel="0" collapsed="false">
      <c r="A7" s="5" t="s">
        <v>43</v>
      </c>
      <c r="B7" s="2" t="s">
        <v>42</v>
      </c>
      <c r="C7" s="13" t="n">
        <f aca="false">C6</f>
        <v>0</v>
      </c>
      <c r="D7" s="13" t="n">
        <f aca="false">C7*(1-Рычаги!$B$8)+D6</f>
        <v>0</v>
      </c>
      <c r="E7" s="13" t="n">
        <f aca="false">D7*(1-Рычаги!$B$8)+E6</f>
        <v>0</v>
      </c>
      <c r="F7" s="13" t="n">
        <f aca="false">E7*(1-Рычаги!$B$8)+F6</f>
        <v>1.4558</v>
      </c>
      <c r="G7" s="13" t="n">
        <f aca="false">F7*(1-Рычаги!$B$8)+G6</f>
        <v>4.352842</v>
      </c>
      <c r="H7" s="13" t="n">
        <f aca="false">G7*(1-Рычаги!$B$8)+H6</f>
        <v>8.67671358</v>
      </c>
      <c r="I7" s="13" t="n">
        <f aca="false">H7*(1-Рычаги!$B$8)+I6</f>
        <v>14.2294464442</v>
      </c>
      <c r="J7" s="13" t="n">
        <f aca="false">I7*(1-Рычаги!$B$8)+J6</f>
        <v>20.998751979758</v>
      </c>
      <c r="K7" s="13" t="n">
        <f aca="false">J7*(1-Рычаги!$B$8)+K6</f>
        <v>28.9724644599604</v>
      </c>
      <c r="L7" s="13" t="n">
        <f aca="false">K7*(1-Рычаги!$B$8)+L6</f>
        <v>38.1385398153608</v>
      </c>
      <c r="M7" s="13" t="n">
        <f aca="false">L7*(1-Рычаги!$B$8)+M6</f>
        <v>48.4850544172072</v>
      </c>
      <c r="N7" s="13" t="n">
        <f aca="false">M7*(1-Рычаги!$B$8)+N6</f>
        <v>60.0002038730351</v>
      </c>
      <c r="O7" s="13" t="n">
        <f aca="false">N7*(1-Рычаги!$B$8)+O6</f>
        <v>72.9002018343048</v>
      </c>
      <c r="P7" s="13" t="n">
        <f aca="false">O7*(1-Рычаги!$B$8)+P6</f>
        <v>87.1711998159617</v>
      </c>
      <c r="Q7" s="13" t="n">
        <f aca="false">P7*(1-Рычаги!$B$8)+Q6</f>
        <v>102.799487817802</v>
      </c>
      <c r="R7" s="13" t="n">
        <f aca="false">Q7*(1-Рычаги!$B$8)+R6</f>
        <v>119.771492939624</v>
      </c>
      <c r="S7" s="13" t="n">
        <f aca="false">R7*(1-Рычаги!$B$8)+S6</f>
        <v>138.073778010228</v>
      </c>
      <c r="T7" s="13" t="n">
        <f aca="false">S7*(1-Рычаги!$B$8)+T6</f>
        <v>157.693040230126</v>
      </c>
    </row>
    <row r="8" customFormat="false" ht="15" hidden="false" customHeight="false" outlineLevel="0" collapsed="false">
      <c r="A8" s="5" t="s">
        <v>44</v>
      </c>
      <c r="B8" s="2" t="s">
        <v>45</v>
      </c>
      <c r="C8" s="14" t="n">
        <f aca="false">IF(1&lt;Рычаги!$B$10,0,MIN(Рычаги!$B$7,Рычаги!$B$6+(Рычаги!$B$7-Рычаги!$B$6)*(1-Рычаги!$B$10)/(18-Рычаги!$B$10)))</f>
        <v>0</v>
      </c>
      <c r="D8" s="14" t="n">
        <f aca="false">IF(2&lt;Рычаги!$B$10,0,MIN(Рычаги!$B$7,Рычаги!$B$6+(Рычаги!$B$7-Рычаги!$B$6)*(2-Рычаги!$B$10)/(18-Рычаги!$B$10)))</f>
        <v>0</v>
      </c>
      <c r="E8" s="14" t="n">
        <f aca="false">IF(3&lt;Рычаги!$B$10,0,MIN(Рычаги!$B$7,Рычаги!$B$6+(Рычаги!$B$7-Рычаги!$B$6)*(3-Рычаги!$B$10)/(18-Рычаги!$B$10)))</f>
        <v>0</v>
      </c>
      <c r="F8" s="14" t="n">
        <f aca="false">IF(4&lt;Рычаги!$B$10,0,MIN(Рычаги!$B$7,Рычаги!$B$6+(Рычаги!$B$7-Рычаги!$B$6)*(4-Рычаги!$B$10)/(18-Рычаги!$B$10)))</f>
        <v>0</v>
      </c>
      <c r="G8" s="14" t="n">
        <f aca="false">IF(5&lt;Рычаги!$B$10,0,MIN(Рычаги!$B$7,Рычаги!$B$6+(Рычаги!$B$7-Рычаги!$B$6)*(5-Рычаги!$B$10)/(18-Рычаги!$B$10)))</f>
        <v>0</v>
      </c>
      <c r="H8" s="14" t="n">
        <f aca="false">IF(6&lt;Рычаги!$B$10,0,MIN(Рычаги!$B$7,Рычаги!$B$6+(Рычаги!$B$7-Рычаги!$B$6)*(6-Рычаги!$B$10)/(18-Рычаги!$B$10)))</f>
        <v>5000</v>
      </c>
      <c r="I8" s="14" t="n">
        <f aca="false">IF(7&lt;Рычаги!$B$10,0,MIN(Рычаги!$B$7,Рычаги!$B$6+(Рычаги!$B$7-Рычаги!$B$6)*(7-Рычаги!$B$10)/(18-Рычаги!$B$10)))</f>
        <v>5833.33333333333</v>
      </c>
      <c r="J8" s="14" t="n">
        <f aca="false">IF(8&lt;Рычаги!$B$10,0,MIN(Рычаги!$B$7,Рычаги!$B$6+(Рычаги!$B$7-Рычаги!$B$6)*(8-Рычаги!$B$10)/(18-Рычаги!$B$10)))</f>
        <v>6666.66666666667</v>
      </c>
      <c r="K8" s="14" t="n">
        <f aca="false">IF(9&lt;Рычаги!$B$10,0,MIN(Рычаги!$B$7,Рычаги!$B$6+(Рычаги!$B$7-Рычаги!$B$6)*(9-Рычаги!$B$10)/(18-Рычаги!$B$10)))</f>
        <v>7500</v>
      </c>
      <c r="L8" s="14" t="n">
        <f aca="false">IF(10&lt;Рычаги!$B$10,0,MIN(Рычаги!$B$7,Рычаги!$B$6+(Рычаги!$B$7-Рычаги!$B$6)*(10-Рычаги!$B$10)/(18-Рычаги!$B$10)))</f>
        <v>8333.33333333333</v>
      </c>
      <c r="M8" s="14" t="n">
        <f aca="false">IF(11&lt;Рычаги!$B$10,0,MIN(Рычаги!$B$7,Рычаги!$B$6+(Рычаги!$B$7-Рычаги!$B$6)*(11-Рычаги!$B$10)/(18-Рычаги!$B$10)))</f>
        <v>9166.66666666667</v>
      </c>
      <c r="N8" s="14" t="n">
        <f aca="false">IF(12&lt;Рычаги!$B$10,0,MIN(Рычаги!$B$7,Рычаги!$B$6+(Рычаги!$B$7-Рычаги!$B$6)*(12-Рычаги!$B$10)/(18-Рычаги!$B$10)))</f>
        <v>10000</v>
      </c>
      <c r="O8" s="14" t="n">
        <f aca="false">IF(13&lt;Рычаги!$B$10,0,MIN(Рычаги!$B$7,Рычаги!$B$6+(Рычаги!$B$7-Рычаги!$B$6)*(13-Рычаги!$B$10)/(18-Рычаги!$B$10)))</f>
        <v>10833.3333333333</v>
      </c>
      <c r="P8" s="14" t="n">
        <f aca="false">IF(14&lt;Рычаги!$B$10,0,MIN(Рычаги!$B$7,Рычаги!$B$6+(Рычаги!$B$7-Рычаги!$B$6)*(14-Рычаги!$B$10)/(18-Рычаги!$B$10)))</f>
        <v>11666.6666666667</v>
      </c>
      <c r="Q8" s="14" t="n">
        <f aca="false">IF(15&lt;Рычаги!$B$10,0,MIN(Рычаги!$B$7,Рычаги!$B$6+(Рычаги!$B$7-Рычаги!$B$6)*(15-Рычаги!$B$10)/(18-Рычаги!$B$10)))</f>
        <v>12500</v>
      </c>
      <c r="R8" s="14" t="n">
        <f aca="false">IF(16&lt;Рычаги!$B$10,0,MIN(Рычаги!$B$7,Рычаги!$B$6+(Рычаги!$B$7-Рычаги!$B$6)*(16-Рычаги!$B$10)/(18-Рычаги!$B$10)))</f>
        <v>13333.3333333333</v>
      </c>
      <c r="S8" s="14" t="n">
        <f aca="false">IF(17&lt;Рычаги!$B$10,0,MIN(Рычаги!$B$7,Рычаги!$B$6+(Рычаги!$B$7-Рычаги!$B$6)*(17-Рычаги!$B$10)/(18-Рычаги!$B$10)))</f>
        <v>14166.6666666667</v>
      </c>
      <c r="T8" s="14" t="n">
        <f aca="false">IF(18&lt;Рычаги!$B$10,0,MIN(Рычаги!$B$7,Рычаги!$B$6+(Рычаги!$B$7-Рычаги!$B$6)*(18-Рычаги!$B$10)/(18-Рычаги!$B$10)))</f>
        <v>15000</v>
      </c>
    </row>
    <row r="9" customFormat="false" ht="15" hidden="false" customHeight="false" outlineLevel="0" collapsed="false">
      <c r="A9" s="5" t="s">
        <v>46</v>
      </c>
      <c r="B9" s="2" t="s">
        <v>42</v>
      </c>
      <c r="C9" s="15" t="n">
        <v>0</v>
      </c>
      <c r="D9" s="15" t="n">
        <v>1</v>
      </c>
      <c r="E9" s="15" t="n">
        <v>2</v>
      </c>
      <c r="F9" s="15" t="n">
        <v>2</v>
      </c>
      <c r="G9" s="15" t="n">
        <v>2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</row>
    <row r="10" customFormat="false" ht="15" hidden="false" customHeight="false" outlineLevel="0" collapsed="false">
      <c r="A10" s="16" t="s">
        <v>47</v>
      </c>
      <c r="B10" s="2" t="s">
        <v>45</v>
      </c>
      <c r="C10" s="14" t="n">
        <f aca="false">C7*C8+C9*Рычаги!$B$9</f>
        <v>0</v>
      </c>
      <c r="D10" s="14" t="n">
        <f aca="false">D7*D8+D9*Рычаги!$B$9</f>
        <v>4000</v>
      </c>
      <c r="E10" s="14" t="n">
        <f aca="false">E7*E8+E9*Рычаги!$B$9</f>
        <v>8000</v>
      </c>
      <c r="F10" s="14" t="n">
        <f aca="false">F7*F8+F9*Рычаги!$B$9</f>
        <v>8000</v>
      </c>
      <c r="G10" s="14" t="n">
        <f aca="false">G7*G8+G9*Рычаги!$B$9</f>
        <v>8000</v>
      </c>
      <c r="H10" s="14" t="n">
        <f aca="false">H7*H8+H9*Рычаги!$B$9</f>
        <v>43383.5679</v>
      </c>
      <c r="I10" s="14" t="n">
        <f aca="false">I7*I8+I9*Рычаги!$B$9</f>
        <v>83005.1042578333</v>
      </c>
      <c r="J10" s="14" t="n">
        <f aca="false">J7*J8+J9*Рычаги!$B$9</f>
        <v>139991.679865053</v>
      </c>
      <c r="K10" s="14" t="n">
        <f aca="false">K7*K8+K9*Рычаги!$B$9</f>
        <v>217293.483449703</v>
      </c>
      <c r="L10" s="14" t="n">
        <f aca="false">L7*L8+L9*Рычаги!$B$9</f>
        <v>317821.165128007</v>
      </c>
      <c r="M10" s="14" t="n">
        <f aca="false">M7*M8+M9*Рычаги!$B$9</f>
        <v>444446.332157733</v>
      </c>
      <c r="N10" s="14" t="n">
        <f aca="false">N7*N8+N9*Рычаги!$B$9</f>
        <v>600002.038730351</v>
      </c>
      <c r="O10" s="14" t="n">
        <f aca="false">O7*O8+O9*Рычаги!$B$9</f>
        <v>789752.186538302</v>
      </c>
      <c r="P10" s="14" t="n">
        <f aca="false">P7*P8+P9*Рычаги!$B$9</f>
        <v>1016997.33118622</v>
      </c>
      <c r="Q10" s="14" t="n">
        <f aca="false">Q7*Q8+Q9*Рычаги!$B$9</f>
        <v>1284993.59772253</v>
      </c>
      <c r="R10" s="14" t="n">
        <f aca="false">R7*R8+R9*Рычаги!$B$9</f>
        <v>1596953.23919499</v>
      </c>
      <c r="S10" s="14" t="n">
        <f aca="false">S7*S8+S9*Рычаги!$B$9</f>
        <v>1956045.18847823</v>
      </c>
      <c r="T10" s="14" t="n">
        <f aca="false">T7*T8+T9*Рычаги!$B$9</f>
        <v>2365395.60345188</v>
      </c>
    </row>
    <row r="11" customFormat="false" ht="15" hidden="false" customHeight="false" outlineLevel="0" collapsed="false">
      <c r="A11" s="4" t="s">
        <v>16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customFormat="false" ht="15" hidden="false" customHeight="false" outlineLevel="0" collapsed="false">
      <c r="A12" s="5" t="s">
        <v>48</v>
      </c>
      <c r="B12" s="2" t="s">
        <v>49</v>
      </c>
      <c r="C12" s="15" t="n">
        <v>0</v>
      </c>
      <c r="D12" s="15" t="n">
        <v>0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15" t="n">
        <v>0</v>
      </c>
      <c r="K12" s="15" t="n">
        <v>108324.8984</v>
      </c>
      <c r="L12" s="15" t="n">
        <v>216649.7969</v>
      </c>
      <c r="M12" s="15" t="n">
        <v>324974.6953</v>
      </c>
      <c r="N12" s="15" t="n">
        <v>433299.5937</v>
      </c>
      <c r="O12" s="15" t="n">
        <v>525208.7109</v>
      </c>
      <c r="P12" s="15" t="n">
        <v>617117.8281</v>
      </c>
      <c r="Q12" s="15" t="n">
        <v>709026.9453</v>
      </c>
      <c r="R12" s="15" t="n">
        <v>1006017.9635</v>
      </c>
      <c r="S12" s="15" t="n">
        <v>1303008.9818</v>
      </c>
      <c r="T12" s="15" t="n">
        <v>1600000</v>
      </c>
    </row>
    <row r="13" customFormat="false" ht="15" hidden="false" customHeight="false" outlineLevel="0" collapsed="false">
      <c r="A13" s="5" t="s">
        <v>50</v>
      </c>
      <c r="B13" s="2" t="s">
        <v>51</v>
      </c>
      <c r="C13" s="17" t="n">
        <f aca="false">C12*Рычаги!$B$14</f>
        <v>0</v>
      </c>
      <c r="D13" s="17" t="n">
        <f aca="false">D12*Рычаги!$B$14</f>
        <v>0</v>
      </c>
      <c r="E13" s="17" t="n">
        <f aca="false">E12*Рычаги!$B$14</f>
        <v>0</v>
      </c>
      <c r="F13" s="17" t="n">
        <f aca="false">F12*Рычаги!$B$14</f>
        <v>0</v>
      </c>
      <c r="G13" s="17" t="n">
        <f aca="false">G12*Рычаги!$B$14</f>
        <v>0</v>
      </c>
      <c r="H13" s="17" t="n">
        <f aca="false">H12*Рычаги!$B$14</f>
        <v>0</v>
      </c>
      <c r="I13" s="17" t="n">
        <f aca="false">I12*Рычаги!$B$14</f>
        <v>0</v>
      </c>
      <c r="J13" s="17" t="n">
        <f aca="false">J12*Рычаги!$B$14</f>
        <v>0</v>
      </c>
      <c r="K13" s="17" t="n">
        <f aca="false">K12*Рычаги!$B$14</f>
        <v>1083.248984</v>
      </c>
      <c r="L13" s="17" t="n">
        <f aca="false">L12*Рычаги!$B$14</f>
        <v>2166.497969</v>
      </c>
      <c r="M13" s="17" t="n">
        <f aca="false">M12*Рычаги!$B$14</f>
        <v>3249.746953</v>
      </c>
      <c r="N13" s="17" t="n">
        <f aca="false">N12*Рычаги!$B$14</f>
        <v>4332.995937</v>
      </c>
      <c r="O13" s="17" t="n">
        <f aca="false">O12*Рычаги!$B$14</f>
        <v>5252.087109</v>
      </c>
      <c r="P13" s="17" t="n">
        <f aca="false">P12*Рычаги!$B$14</f>
        <v>6171.178281</v>
      </c>
      <c r="Q13" s="17" t="n">
        <f aca="false">Q12*Рычаги!$B$14</f>
        <v>7090.269453</v>
      </c>
      <c r="R13" s="17" t="n">
        <f aca="false">R12*Рычаги!$B$14</f>
        <v>10060.179635</v>
      </c>
      <c r="S13" s="17" t="n">
        <f aca="false">S12*Рычаги!$B$14</f>
        <v>13030.089818</v>
      </c>
      <c r="T13" s="17" t="n">
        <f aca="false">T12*Рычаги!$B$14</f>
        <v>16000</v>
      </c>
    </row>
    <row r="14" customFormat="false" ht="15" hidden="false" customHeight="false" outlineLevel="0" collapsed="false">
      <c r="A14" s="5" t="s">
        <v>52</v>
      </c>
      <c r="B14" s="2" t="s">
        <v>51</v>
      </c>
      <c r="C14" s="17" t="n">
        <f aca="false">C13</f>
        <v>0</v>
      </c>
      <c r="D14" s="17" t="n">
        <f aca="false">C14*(1-Рычаги!$B$13)+D13</f>
        <v>0</v>
      </c>
      <c r="E14" s="17" t="n">
        <f aca="false">D14*(1-Рычаги!$B$13)+E13</f>
        <v>0</v>
      </c>
      <c r="F14" s="17" t="n">
        <f aca="false">E14*(1-Рычаги!$B$13)+F13</f>
        <v>0</v>
      </c>
      <c r="G14" s="17" t="n">
        <f aca="false">F14*(1-Рычаги!$B$13)+G13</f>
        <v>0</v>
      </c>
      <c r="H14" s="17" t="n">
        <f aca="false">G14*(1-Рычаги!$B$13)+H13</f>
        <v>0</v>
      </c>
      <c r="I14" s="17" t="n">
        <f aca="false">H14*(1-Рычаги!$B$13)+I13</f>
        <v>0</v>
      </c>
      <c r="J14" s="17" t="n">
        <f aca="false">I14*(1-Рычаги!$B$13)+J13</f>
        <v>0</v>
      </c>
      <c r="K14" s="17" t="n">
        <f aca="false">J14*(1-Рычаги!$B$13)+K13</f>
        <v>1083.248984</v>
      </c>
      <c r="L14" s="17" t="n">
        <f aca="false">K14*(1-Рычаги!$B$13)+L13</f>
        <v>3163.08703428</v>
      </c>
      <c r="M14" s="17" t="n">
        <f aca="false">L14*(1-Рычаги!$B$13)+M13</f>
        <v>6159.7870245376</v>
      </c>
      <c r="N14" s="17" t="n">
        <f aca="false">M14*(1-Рычаги!$B$13)+N13</f>
        <v>9999.99999957459</v>
      </c>
      <c r="O14" s="17" t="n">
        <f aca="false">N14*(1-Рычаги!$B$13)+O13</f>
        <v>14452.0871086086</v>
      </c>
      <c r="P14" s="17" t="n">
        <f aca="false">O14*(1-Рычаги!$B$13)+P13</f>
        <v>19467.0984209199</v>
      </c>
      <c r="Q14" s="17" t="n">
        <f aca="false">P14*(1-Рычаги!$B$13)+Q13</f>
        <v>25000.0000002463</v>
      </c>
      <c r="R14" s="17" t="n">
        <f aca="false">Q14*(1-Рычаги!$B$13)+R13</f>
        <v>33060.1796352266</v>
      </c>
      <c r="S14" s="17" t="n">
        <f aca="false">R14*(1-Рычаги!$B$13)+S13</f>
        <v>43445.4550824085</v>
      </c>
      <c r="T14" s="17" t="n">
        <f aca="false">S14*(1-Рычаги!$B$13)+T13</f>
        <v>55969.8186758158</v>
      </c>
    </row>
    <row r="15" customFormat="false" ht="15" hidden="false" customHeight="false" outlineLevel="0" collapsed="false">
      <c r="A15" s="5" t="s">
        <v>53</v>
      </c>
      <c r="B15" s="2" t="s">
        <v>45</v>
      </c>
      <c r="C15" s="14" t="n">
        <f aca="false">C14*Рычаги!$B$12</f>
        <v>0</v>
      </c>
      <c r="D15" s="14" t="n">
        <f aca="false">D14*Рычаги!$B$12</f>
        <v>0</v>
      </c>
      <c r="E15" s="14" t="n">
        <f aca="false">E14*Рычаги!$B$12</f>
        <v>0</v>
      </c>
      <c r="F15" s="14" t="n">
        <f aca="false">F14*Рычаги!$B$12</f>
        <v>0</v>
      </c>
      <c r="G15" s="14" t="n">
        <f aca="false">G14*Рычаги!$B$12</f>
        <v>0</v>
      </c>
      <c r="H15" s="14" t="n">
        <f aca="false">H14*Рычаги!$B$12</f>
        <v>0</v>
      </c>
      <c r="I15" s="14" t="n">
        <f aca="false">I14*Рычаги!$B$12</f>
        <v>0</v>
      </c>
      <c r="J15" s="14" t="n">
        <f aca="false">J14*Рычаги!$B$12</f>
        <v>0</v>
      </c>
      <c r="K15" s="14" t="n">
        <f aca="false">K14*Рычаги!$B$12</f>
        <v>10832.48984</v>
      </c>
      <c r="L15" s="14" t="n">
        <f aca="false">L14*Рычаги!$B$12</f>
        <v>31630.8703428</v>
      </c>
      <c r="M15" s="14" t="n">
        <f aca="false">M14*Рычаги!$B$12</f>
        <v>61597.870245376</v>
      </c>
      <c r="N15" s="14" t="n">
        <f aca="false">N14*Рычаги!$B$12</f>
        <v>99999.9999957459</v>
      </c>
      <c r="O15" s="14" t="n">
        <f aca="false">O14*Рычаги!$B$12</f>
        <v>144520.871086086</v>
      </c>
      <c r="P15" s="14" t="n">
        <f aca="false">P14*Рычаги!$B$12</f>
        <v>194670.984209199</v>
      </c>
      <c r="Q15" s="14" t="n">
        <f aca="false">Q14*Рычаги!$B$12</f>
        <v>250000.000002463</v>
      </c>
      <c r="R15" s="14" t="n">
        <f aca="false">R14*Рычаги!$B$12</f>
        <v>330601.796352266</v>
      </c>
      <c r="S15" s="14" t="n">
        <f aca="false">S14*Рычаги!$B$12</f>
        <v>434454.550824085</v>
      </c>
      <c r="T15" s="14" t="n">
        <f aca="false">T14*Рычаги!$B$12</f>
        <v>559698.186758158</v>
      </c>
    </row>
    <row r="16" customFormat="false" ht="15" hidden="false" customHeight="false" outlineLevel="0" collapsed="false">
      <c r="A16" s="5" t="s">
        <v>54</v>
      </c>
      <c r="B16" s="2" t="s">
        <v>55</v>
      </c>
      <c r="C16" s="12" t="n">
        <v>0</v>
      </c>
      <c r="D16" s="12" t="n">
        <v>0</v>
      </c>
      <c r="E16" s="12" t="n">
        <v>1</v>
      </c>
      <c r="F16" s="12" t="n">
        <v>1</v>
      </c>
      <c r="G16" s="12" t="n">
        <v>1</v>
      </c>
      <c r="H16" s="12" t="n">
        <v>1</v>
      </c>
      <c r="I16" s="12" t="n">
        <v>2</v>
      </c>
      <c r="J16" s="12" t="n">
        <v>3</v>
      </c>
      <c r="K16" s="12" t="n">
        <v>4</v>
      </c>
      <c r="L16" s="12" t="n">
        <v>4</v>
      </c>
      <c r="M16" s="12" t="n">
        <v>4</v>
      </c>
      <c r="N16" s="12" t="n">
        <v>4</v>
      </c>
      <c r="O16" s="12" t="n">
        <v>4.6667</v>
      </c>
      <c r="P16" s="12" t="n">
        <v>5.3333</v>
      </c>
      <c r="Q16" s="12" t="n">
        <v>6</v>
      </c>
      <c r="R16" s="12" t="n">
        <v>6.6667</v>
      </c>
      <c r="S16" s="12" t="n">
        <v>7.3333</v>
      </c>
      <c r="T16" s="12" t="n">
        <v>8</v>
      </c>
    </row>
    <row r="17" customFormat="false" ht="15" hidden="false" customHeight="false" outlineLevel="0" collapsed="false">
      <c r="A17" s="5" t="s">
        <v>56</v>
      </c>
      <c r="B17" s="2" t="s">
        <v>45</v>
      </c>
      <c r="C17" s="14" t="n">
        <f aca="false">C16*Рычаги!$B$15</f>
        <v>0</v>
      </c>
      <c r="D17" s="14" t="n">
        <f aca="false">D16*Рычаги!$B$15</f>
        <v>0</v>
      </c>
      <c r="E17" s="14" t="n">
        <f aca="false">E16*Рычаги!$B$15</f>
        <v>50000</v>
      </c>
      <c r="F17" s="14" t="n">
        <f aca="false">F16*Рычаги!$B$15</f>
        <v>50000</v>
      </c>
      <c r="G17" s="14" t="n">
        <f aca="false">G16*Рычаги!$B$15</f>
        <v>50000</v>
      </c>
      <c r="H17" s="14" t="n">
        <f aca="false">H16*Рычаги!$B$15</f>
        <v>50000</v>
      </c>
      <c r="I17" s="14" t="n">
        <f aca="false">I16*Рычаги!$B$15</f>
        <v>100000</v>
      </c>
      <c r="J17" s="14" t="n">
        <f aca="false">J16*Рычаги!$B$15</f>
        <v>150000</v>
      </c>
      <c r="K17" s="14" t="n">
        <f aca="false">K16*Рычаги!$B$15</f>
        <v>200000</v>
      </c>
      <c r="L17" s="14" t="n">
        <f aca="false">L16*Рычаги!$B$15</f>
        <v>200000</v>
      </c>
      <c r="M17" s="14" t="n">
        <f aca="false">M16*Рычаги!$B$15</f>
        <v>200000</v>
      </c>
      <c r="N17" s="14" t="n">
        <f aca="false">N16*Рычаги!$B$15</f>
        <v>200000</v>
      </c>
      <c r="O17" s="14" t="n">
        <f aca="false">O16*Рычаги!$B$15</f>
        <v>233335</v>
      </c>
      <c r="P17" s="14" t="n">
        <f aca="false">P16*Рычаги!$B$15</f>
        <v>266665</v>
      </c>
      <c r="Q17" s="14" t="n">
        <f aca="false">Q16*Рычаги!$B$15</f>
        <v>300000</v>
      </c>
      <c r="R17" s="14" t="n">
        <f aca="false">R16*Рычаги!$B$15</f>
        <v>333335</v>
      </c>
      <c r="S17" s="14" t="n">
        <f aca="false">S16*Рычаги!$B$15</f>
        <v>366665</v>
      </c>
      <c r="T17" s="14" t="n">
        <f aca="false">T16*Рычаги!$B$15</f>
        <v>400000</v>
      </c>
    </row>
    <row r="18" customFormat="false" ht="15" hidden="false" customHeight="false" outlineLevel="0" collapsed="false">
      <c r="A18" s="4" t="s">
        <v>21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</row>
    <row r="19" customFormat="false" ht="15" hidden="false" customHeight="false" outlineLevel="0" collapsed="false">
      <c r="A19" s="5" t="s">
        <v>41</v>
      </c>
      <c r="B19" s="2" t="s">
        <v>42</v>
      </c>
      <c r="C19" s="12" t="n">
        <v>0</v>
      </c>
      <c r="D19" s="12" t="n">
        <v>0</v>
      </c>
      <c r="E19" s="12" t="n">
        <v>2</v>
      </c>
      <c r="F19" s="12" t="n">
        <v>3.5851</v>
      </c>
      <c r="G19" s="12" t="n">
        <v>5.1702</v>
      </c>
      <c r="H19" s="12" t="n">
        <v>6.7553</v>
      </c>
      <c r="I19" s="12" t="n">
        <v>8.9628</v>
      </c>
      <c r="J19" s="12" t="n">
        <v>11.1702</v>
      </c>
      <c r="K19" s="12" t="n">
        <v>13.3777</v>
      </c>
      <c r="L19" s="12" t="n">
        <v>15.5851</v>
      </c>
      <c r="M19" s="12" t="n">
        <v>17.7926</v>
      </c>
      <c r="N19" s="12" t="n">
        <v>20</v>
      </c>
      <c r="O19" s="12" t="n">
        <v>24.1667</v>
      </c>
      <c r="P19" s="12" t="n">
        <v>28.3333</v>
      </c>
      <c r="Q19" s="12" t="n">
        <v>32.5</v>
      </c>
      <c r="R19" s="12" t="n">
        <v>36.6667</v>
      </c>
      <c r="S19" s="12" t="n">
        <v>40.8333</v>
      </c>
      <c r="T19" s="12" t="n">
        <v>45</v>
      </c>
    </row>
    <row r="20" customFormat="false" ht="15" hidden="false" customHeight="false" outlineLevel="0" collapsed="false">
      <c r="A20" s="5" t="s">
        <v>57</v>
      </c>
      <c r="B20" s="2" t="s">
        <v>42</v>
      </c>
      <c r="C20" s="13" t="n">
        <f aca="false">C19</f>
        <v>0</v>
      </c>
      <c r="D20" s="13" t="n">
        <f aca="false">C20*(1-Рычаги!$B$19)+D19</f>
        <v>0</v>
      </c>
      <c r="E20" s="13" t="n">
        <f aca="false">D20*(1-Рычаги!$B$19)+E19</f>
        <v>2</v>
      </c>
      <c r="F20" s="13" t="n">
        <f aca="false">E20*(1-Рычаги!$B$19)+F19</f>
        <v>5.5551</v>
      </c>
      <c r="G20" s="13" t="n">
        <f aca="false">F20*(1-Рычаги!$B$19)+G19</f>
        <v>10.6419735</v>
      </c>
      <c r="H20" s="13" t="n">
        <f aca="false">G20*(1-Рычаги!$B$19)+H19</f>
        <v>17.2376438975</v>
      </c>
      <c r="I20" s="13" t="n">
        <f aca="false">H20*(1-Рычаги!$B$19)+I19</f>
        <v>25.9418792390375</v>
      </c>
      <c r="J20" s="13" t="n">
        <f aca="false">I20*(1-Рычаги!$B$19)+J19</f>
        <v>36.7229510504519</v>
      </c>
      <c r="K20" s="13" t="n">
        <f aca="false">J20*(1-Рычаги!$B$19)+K19</f>
        <v>49.5498067846952</v>
      </c>
      <c r="L20" s="13" t="n">
        <f aca="false">K20*(1-Рычаги!$B$19)+L19</f>
        <v>64.3916596829247</v>
      </c>
      <c r="M20" s="13" t="n">
        <f aca="false">L20*(1-Рычаги!$B$19)+M19</f>
        <v>81.2183847876809</v>
      </c>
      <c r="N20" s="13" t="n">
        <f aca="false">M20*(1-Рычаги!$B$19)+N19</f>
        <v>100.000109015866</v>
      </c>
      <c r="O20" s="13" t="n">
        <f aca="false">N20*(1-Рычаги!$B$19)+O19</f>
        <v>122.666807380628</v>
      </c>
      <c r="P20" s="13" t="n">
        <f aca="false">O20*(1-Рычаги!$B$19)+P19</f>
        <v>149.160105269918</v>
      </c>
      <c r="Q20" s="13" t="n">
        <f aca="false">P20*(1-Рычаги!$B$19)+Q19</f>
        <v>179.422703690869</v>
      </c>
      <c r="R20" s="13" t="n">
        <f aca="false">Q20*(1-Рычаги!$B$19)+R19</f>
        <v>213.398063135506</v>
      </c>
      <c r="S20" s="13" t="n">
        <f aca="false">R20*(1-Рычаги!$B$19)+S19</f>
        <v>251.030392188474</v>
      </c>
      <c r="T20" s="13" t="n">
        <f aca="false">S20*(1-Рычаги!$B$19)+T19</f>
        <v>292.264936305647</v>
      </c>
    </row>
    <row r="21" customFormat="false" ht="15" hidden="false" customHeight="false" outlineLevel="0" collapsed="false">
      <c r="A21" s="5" t="s">
        <v>44</v>
      </c>
      <c r="B21" s="2" t="s">
        <v>45</v>
      </c>
      <c r="C21" s="14" t="n">
        <f aca="false">IF(1&lt;3,0,MIN(Рычаги!$B$18,Рычаги!$B$17+(Рычаги!$B$18-Рычаги!$B$17)*(1-3)/15))</f>
        <v>0</v>
      </c>
      <c r="D21" s="14" t="n">
        <f aca="false">IF(2&lt;3,0,MIN(Рычаги!$B$18,Рычаги!$B$17+(Рычаги!$B$18-Рычаги!$B$17)*(2-3)/15))</f>
        <v>0</v>
      </c>
      <c r="E21" s="14" t="n">
        <f aca="false">IF(3&lt;3,0,MIN(Рычаги!$B$18,Рычаги!$B$17+(Рычаги!$B$18-Рычаги!$B$17)*(3-3)/15))</f>
        <v>800</v>
      </c>
      <c r="F21" s="14" t="n">
        <f aca="false">IF(4&lt;3,0,MIN(Рычаги!$B$18,Рычаги!$B$17+(Рычаги!$B$18-Рычаги!$B$17)*(4-3)/15))</f>
        <v>880</v>
      </c>
      <c r="G21" s="14" t="n">
        <f aca="false">IF(5&lt;3,0,MIN(Рычаги!$B$18,Рычаги!$B$17+(Рычаги!$B$18-Рычаги!$B$17)*(5-3)/15))</f>
        <v>960</v>
      </c>
      <c r="H21" s="14" t="n">
        <f aca="false">IF(6&lt;3,0,MIN(Рычаги!$B$18,Рычаги!$B$17+(Рычаги!$B$18-Рычаги!$B$17)*(6-3)/15))</f>
        <v>1040</v>
      </c>
      <c r="I21" s="14" t="n">
        <f aca="false">IF(7&lt;3,0,MIN(Рычаги!$B$18,Рычаги!$B$17+(Рычаги!$B$18-Рычаги!$B$17)*(7-3)/15))</f>
        <v>1120</v>
      </c>
      <c r="J21" s="14" t="n">
        <f aca="false">IF(8&lt;3,0,MIN(Рычаги!$B$18,Рычаги!$B$17+(Рычаги!$B$18-Рычаги!$B$17)*(8-3)/15))</f>
        <v>1200</v>
      </c>
      <c r="K21" s="14" t="n">
        <f aca="false">IF(9&lt;3,0,MIN(Рычаги!$B$18,Рычаги!$B$17+(Рычаги!$B$18-Рычаги!$B$17)*(9-3)/15))</f>
        <v>1280</v>
      </c>
      <c r="L21" s="14" t="n">
        <f aca="false">IF(10&lt;3,0,MIN(Рычаги!$B$18,Рычаги!$B$17+(Рычаги!$B$18-Рычаги!$B$17)*(10-3)/15))</f>
        <v>1360</v>
      </c>
      <c r="M21" s="14" t="n">
        <f aca="false">IF(11&lt;3,0,MIN(Рычаги!$B$18,Рычаги!$B$17+(Рычаги!$B$18-Рычаги!$B$17)*(11-3)/15))</f>
        <v>1440</v>
      </c>
      <c r="N21" s="14" t="n">
        <f aca="false">IF(12&lt;3,0,MIN(Рычаги!$B$18,Рычаги!$B$17+(Рычаги!$B$18-Рычаги!$B$17)*(12-3)/15))</f>
        <v>1520</v>
      </c>
      <c r="O21" s="14" t="n">
        <f aca="false">IF(13&lt;3,0,MIN(Рычаги!$B$18,Рычаги!$B$17+(Рычаги!$B$18-Рычаги!$B$17)*(13-3)/15))</f>
        <v>1600</v>
      </c>
      <c r="P21" s="14" t="n">
        <f aca="false">IF(14&lt;3,0,MIN(Рычаги!$B$18,Рычаги!$B$17+(Рычаги!$B$18-Рычаги!$B$17)*(14-3)/15))</f>
        <v>1680</v>
      </c>
      <c r="Q21" s="14" t="n">
        <f aca="false">IF(15&lt;3,0,MIN(Рычаги!$B$18,Рычаги!$B$17+(Рычаги!$B$18-Рычаги!$B$17)*(15-3)/15))</f>
        <v>1760</v>
      </c>
      <c r="R21" s="14" t="n">
        <f aca="false">IF(16&lt;3,0,MIN(Рычаги!$B$18,Рычаги!$B$17+(Рычаги!$B$18-Рычаги!$B$17)*(16-3)/15))</f>
        <v>1840</v>
      </c>
      <c r="S21" s="14" t="n">
        <f aca="false">IF(17&lt;3,0,MIN(Рычаги!$B$18,Рычаги!$B$17+(Рычаги!$B$18-Рычаги!$B$17)*(17-3)/15))</f>
        <v>1920</v>
      </c>
      <c r="T21" s="14" t="n">
        <f aca="false">IF(18&lt;3,0,MIN(Рычаги!$B$18,Рычаги!$B$17+(Рычаги!$B$18-Рычаги!$B$17)*(18-3)/15))</f>
        <v>2000</v>
      </c>
    </row>
    <row r="22" customFormat="false" ht="15" hidden="false" customHeight="false" outlineLevel="0" collapsed="false">
      <c r="A22" s="16" t="s">
        <v>58</v>
      </c>
      <c r="B22" s="2" t="s">
        <v>45</v>
      </c>
      <c r="C22" s="14" t="n">
        <f aca="false">C20*C21</f>
        <v>0</v>
      </c>
      <c r="D22" s="14" t="n">
        <f aca="false">D20*D21</f>
        <v>0</v>
      </c>
      <c r="E22" s="14" t="n">
        <f aca="false">E20*E21</f>
        <v>1600</v>
      </c>
      <c r="F22" s="14" t="n">
        <f aca="false">F20*F21</f>
        <v>4888.488</v>
      </c>
      <c r="G22" s="14" t="n">
        <f aca="false">G20*G21</f>
        <v>10216.29456</v>
      </c>
      <c r="H22" s="14" t="n">
        <f aca="false">H20*H21</f>
        <v>17927.1496534</v>
      </c>
      <c r="I22" s="14" t="n">
        <f aca="false">I20*I21</f>
        <v>29054.904747722</v>
      </c>
      <c r="J22" s="14" t="n">
        <f aca="false">J20*J21</f>
        <v>44067.5412605423</v>
      </c>
      <c r="K22" s="14" t="n">
        <f aca="false">K20*K21</f>
        <v>63423.7526844098</v>
      </c>
      <c r="L22" s="14" t="n">
        <f aca="false">L20*L21</f>
        <v>87572.6571687776</v>
      </c>
      <c r="M22" s="14" t="n">
        <f aca="false">M20*M21</f>
        <v>116954.47409426</v>
      </c>
      <c r="N22" s="14" t="n">
        <f aca="false">N20*N21</f>
        <v>152000.165704116</v>
      </c>
      <c r="O22" s="14" t="n">
        <f aca="false">O20*O21</f>
        <v>196266.891809004</v>
      </c>
      <c r="P22" s="14" t="n">
        <f aca="false">P20*P21</f>
        <v>250588.976853463</v>
      </c>
      <c r="Q22" s="14" t="n">
        <f aca="false">Q20*Q21</f>
        <v>315783.95849593</v>
      </c>
      <c r="R22" s="14" t="n">
        <f aca="false">R20*R21</f>
        <v>392652.436169332</v>
      </c>
      <c r="S22" s="14" t="n">
        <f aca="false">S20*S21</f>
        <v>481978.35300187</v>
      </c>
      <c r="T22" s="14" t="n">
        <f aca="false">T20*T21</f>
        <v>584529.872611294</v>
      </c>
    </row>
    <row r="23" customFormat="false" ht="15" hidden="false" customHeight="false" outlineLevel="0" collapsed="false">
      <c r="A23" s="4" t="s">
        <v>59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24" customFormat="false" ht="15" hidden="false" customHeight="false" outlineLevel="0" collapsed="false">
      <c r="A24" s="16" t="s">
        <v>60</v>
      </c>
      <c r="B24" s="2" t="s">
        <v>45</v>
      </c>
      <c r="C24" s="14" t="n">
        <f aca="false">C10+C15+C17+C22</f>
        <v>0</v>
      </c>
      <c r="D24" s="14" t="n">
        <f aca="false">D10+D15+D17+D22</f>
        <v>4000</v>
      </c>
      <c r="E24" s="14" t="n">
        <f aca="false">E10+E15+E17+E22</f>
        <v>59600</v>
      </c>
      <c r="F24" s="14" t="n">
        <f aca="false">F10+F15+F17+F22</f>
        <v>62888.488</v>
      </c>
      <c r="G24" s="14" t="n">
        <f aca="false">G10+G15+G17+G22</f>
        <v>68216.29456</v>
      </c>
      <c r="H24" s="14" t="n">
        <f aca="false">H10+H15+H17+H22</f>
        <v>111310.7175534</v>
      </c>
      <c r="I24" s="14" t="n">
        <f aca="false">I10+I15+I17+I22</f>
        <v>212060.009005555</v>
      </c>
      <c r="J24" s="14" t="n">
        <f aca="false">J10+J15+J17+J22</f>
        <v>334059.221125596</v>
      </c>
      <c r="K24" s="14" t="n">
        <f aca="false">K10+K15+K17+K22</f>
        <v>491549.725974113</v>
      </c>
      <c r="L24" s="14" t="n">
        <f aca="false">L10+L15+L17+L22</f>
        <v>637024.692639584</v>
      </c>
      <c r="M24" s="14" t="n">
        <f aca="false">M10+M15+M17+M22</f>
        <v>822998.676497369</v>
      </c>
      <c r="N24" s="14" t="n">
        <f aca="false">N10+N15+N17+N22</f>
        <v>1052002.20443021</v>
      </c>
      <c r="O24" s="14" t="n">
        <f aca="false">O10+O15+O17+O22</f>
        <v>1363874.94943339</v>
      </c>
      <c r="P24" s="14" t="n">
        <f aca="false">P10+P15+P17+P22</f>
        <v>1728922.29224888</v>
      </c>
      <c r="Q24" s="14" t="n">
        <f aca="false">Q10+Q15+Q17+Q22</f>
        <v>2150777.55622092</v>
      </c>
      <c r="R24" s="14" t="n">
        <f aca="false">R10+R15+R17+R22</f>
        <v>2653542.47171659</v>
      </c>
      <c r="S24" s="14" t="n">
        <f aca="false">S10+S15+S17+S22</f>
        <v>3239143.09230418</v>
      </c>
      <c r="T24" s="14" t="n">
        <f aca="false">T10+T15+T17+T22</f>
        <v>3909623.66282134</v>
      </c>
    </row>
    <row r="25" customFormat="false" ht="15" hidden="false" customHeight="false" outlineLevel="0" collapsed="false">
      <c r="A25" s="5" t="s">
        <v>61</v>
      </c>
      <c r="B25" s="2" t="s">
        <v>62</v>
      </c>
      <c r="C25" s="14" t="n">
        <f aca="false">(C10-C9*Рычаги!$B$9+C15+C22)*12</f>
        <v>0</v>
      </c>
      <c r="D25" s="14" t="n">
        <f aca="false">(D10-D9*Рычаги!$B$9+D15+D22)*12</f>
        <v>0</v>
      </c>
      <c r="E25" s="14" t="n">
        <f aca="false">(E10-E9*Рычаги!$B$9+E15+E22)*12</f>
        <v>19200</v>
      </c>
      <c r="F25" s="14" t="n">
        <f aca="false">(F10-F9*Рычаги!$B$9+F15+F22)*12</f>
        <v>58661.856</v>
      </c>
      <c r="G25" s="14" t="n">
        <f aca="false">(G10-G9*Рычаги!$B$9+G15+G22)*12</f>
        <v>122595.53472</v>
      </c>
      <c r="H25" s="14" t="n">
        <f aca="false">(H10-H9*Рычаги!$B$9+H15+H22)*12</f>
        <v>735728.6106408</v>
      </c>
      <c r="I25" s="14" t="n">
        <f aca="false">(I10-I9*Рычаги!$B$9+I15+I22)*12</f>
        <v>1344720.10806666</v>
      </c>
      <c r="J25" s="14" t="n">
        <f aca="false">(J10-J9*Рычаги!$B$9+J15+J22)*12</f>
        <v>2208710.65350715</v>
      </c>
      <c r="K25" s="14" t="n">
        <f aca="false">(K10-K9*Рычаги!$B$9+K15+K22)*12</f>
        <v>3498596.71168936</v>
      </c>
      <c r="L25" s="14" t="n">
        <f aca="false">(L10-L9*Рычаги!$B$9+L15+L22)*12</f>
        <v>5244296.31167501</v>
      </c>
      <c r="M25" s="14" t="n">
        <f aca="false">(M10-M9*Рычаги!$B$9+M15+M22)*12</f>
        <v>7475984.11796843</v>
      </c>
      <c r="N25" s="14" t="n">
        <f aca="false">(N10-N9*Рычаги!$B$9+N15+N22)*12</f>
        <v>10224026.4531626</v>
      </c>
      <c r="O25" s="14" t="n">
        <f aca="false">(O10-O9*Рычаги!$B$9+O15+O22)*12</f>
        <v>13566479.3932007</v>
      </c>
      <c r="P25" s="14" t="n">
        <f aca="false">(P10-P9*Рычаги!$B$9+P15+P22)*12</f>
        <v>17547087.5069866</v>
      </c>
      <c r="Q25" s="14" t="n">
        <f aca="false">(Q10-Q9*Рычаги!$B$9+Q15+Q22)*12</f>
        <v>22209330.674651</v>
      </c>
      <c r="R25" s="14" t="n">
        <f aca="false">(R10-R9*Рычаги!$B$9+R15+R22)*12</f>
        <v>27842489.660599</v>
      </c>
      <c r="S25" s="14" t="n">
        <f aca="false">(S10-S9*Рычаги!$B$9+S15+S22)*12</f>
        <v>34469737.1076502</v>
      </c>
      <c r="T25" s="14" t="n">
        <f aca="false">(T10-T9*Рычаги!$B$9+T15+T22)*12</f>
        <v>42115483.953856</v>
      </c>
    </row>
    <row r="26" customFormat="false" ht="15" hidden="false" customHeight="false" outlineLevel="0" collapsed="false">
      <c r="A26" s="4" t="s">
        <v>63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</row>
    <row r="27" customFormat="false" ht="15" hidden="false" customHeight="false" outlineLevel="0" collapsed="false">
      <c r="A27" s="5" t="s">
        <v>64</v>
      </c>
      <c r="B27" s="2" t="s">
        <v>65</v>
      </c>
      <c r="C27" s="15" t="n">
        <v>10</v>
      </c>
      <c r="D27" s="15" t="n">
        <v>20</v>
      </c>
      <c r="E27" s="15" t="n">
        <v>30</v>
      </c>
      <c r="F27" s="15" t="n">
        <v>38.3333</v>
      </c>
      <c r="G27" s="15" t="n">
        <v>46.6667</v>
      </c>
      <c r="H27" s="15" t="n">
        <v>55</v>
      </c>
      <c r="I27" s="15" t="n">
        <v>61.6667</v>
      </c>
      <c r="J27" s="15" t="n">
        <v>68.3333</v>
      </c>
      <c r="K27" s="15" t="n">
        <v>75</v>
      </c>
      <c r="L27" s="15" t="n">
        <v>81.6667</v>
      </c>
      <c r="M27" s="15" t="n">
        <v>88.3333</v>
      </c>
      <c r="N27" s="15" t="n">
        <v>95</v>
      </c>
      <c r="O27" s="15" t="n">
        <v>101.6667</v>
      </c>
      <c r="P27" s="15" t="n">
        <v>108.3333</v>
      </c>
      <c r="Q27" s="15" t="n">
        <v>115</v>
      </c>
      <c r="R27" s="15" t="n">
        <v>121.6667</v>
      </c>
      <c r="S27" s="15" t="n">
        <v>128.3333</v>
      </c>
      <c r="T27" s="15" t="n">
        <v>135</v>
      </c>
    </row>
    <row r="28" customFormat="false" ht="15" hidden="false" customHeight="false" outlineLevel="0" collapsed="false">
      <c r="A28" s="5" t="s">
        <v>66</v>
      </c>
      <c r="B28" s="2" t="s">
        <v>45</v>
      </c>
      <c r="C28" s="14" t="n">
        <f aca="false">C27*Рычаги!$B$21/12</f>
        <v>125000</v>
      </c>
      <c r="D28" s="14" t="n">
        <f aca="false">D27*Рычаги!$B$21/12</f>
        <v>250000</v>
      </c>
      <c r="E28" s="14" t="n">
        <f aca="false">E27*Рычаги!$B$21/12</f>
        <v>375000</v>
      </c>
      <c r="F28" s="14" t="n">
        <f aca="false">F27*Рычаги!$B$21/12</f>
        <v>479166.25</v>
      </c>
      <c r="G28" s="14" t="n">
        <f aca="false">G27*Рычаги!$B$21/12</f>
        <v>583333.75</v>
      </c>
      <c r="H28" s="14" t="n">
        <f aca="false">H27*Рычаги!$B$21/12</f>
        <v>687500</v>
      </c>
      <c r="I28" s="14" t="n">
        <f aca="false">I27*Рычаги!$B$21/12</f>
        <v>770833.75</v>
      </c>
      <c r="J28" s="14" t="n">
        <f aca="false">J27*Рычаги!$B$21/12</f>
        <v>854166.25</v>
      </c>
      <c r="K28" s="14" t="n">
        <f aca="false">K27*Рычаги!$B$21/12</f>
        <v>937500</v>
      </c>
      <c r="L28" s="14" t="n">
        <f aca="false">L27*Рычаги!$B$21/12</f>
        <v>1020833.75</v>
      </c>
      <c r="M28" s="14" t="n">
        <f aca="false">M27*Рычаги!$B$21/12</f>
        <v>1104166.25</v>
      </c>
      <c r="N28" s="14" t="n">
        <f aca="false">N27*Рычаги!$B$21/12</f>
        <v>1187500</v>
      </c>
      <c r="O28" s="14" t="n">
        <f aca="false">O27*Рычаги!$B$21/12</f>
        <v>1270833.75</v>
      </c>
      <c r="P28" s="14" t="n">
        <f aca="false">P27*Рычаги!$B$21/12</f>
        <v>1354166.25</v>
      </c>
      <c r="Q28" s="14" t="n">
        <f aca="false">Q27*Рычаги!$B$21/12</f>
        <v>1437500</v>
      </c>
      <c r="R28" s="14" t="n">
        <f aca="false">R27*Рычаги!$B$21/12</f>
        <v>1520833.75</v>
      </c>
      <c r="S28" s="14" t="n">
        <f aca="false">S27*Рычаги!$B$21/12</f>
        <v>1604166.25</v>
      </c>
      <c r="T28" s="14" t="n">
        <f aca="false">T27*Рычаги!$B$21/12</f>
        <v>1687500</v>
      </c>
    </row>
    <row r="29" customFormat="false" ht="15" hidden="false" customHeight="false" outlineLevel="0" collapsed="false">
      <c r="A29" s="5" t="s">
        <v>67</v>
      </c>
      <c r="B29" s="2" t="s">
        <v>45</v>
      </c>
      <c r="C29" s="18" t="n">
        <v>803833.3333</v>
      </c>
      <c r="D29" s="18" t="n">
        <v>1236666.6667</v>
      </c>
      <c r="E29" s="18" t="n">
        <v>1669500</v>
      </c>
      <c r="F29" s="18" t="n">
        <v>1669500</v>
      </c>
      <c r="G29" s="18" t="n">
        <v>1900000</v>
      </c>
      <c r="H29" s="18" t="n">
        <v>2130500</v>
      </c>
      <c r="I29" s="18" t="n">
        <v>2130500</v>
      </c>
      <c r="J29" s="18" t="n">
        <v>2224966.6667</v>
      </c>
      <c r="K29" s="18" t="n">
        <v>2319433.3333</v>
      </c>
      <c r="L29" s="18" t="n">
        <v>2413900</v>
      </c>
      <c r="M29" s="18" t="n">
        <v>2508366.6667</v>
      </c>
      <c r="N29" s="18" t="n">
        <v>2602833.3333</v>
      </c>
      <c r="O29" s="18" t="n">
        <v>2602833.3333</v>
      </c>
      <c r="P29" s="18" t="n">
        <v>2788366.6667</v>
      </c>
      <c r="Q29" s="18" t="n">
        <v>2973900</v>
      </c>
      <c r="R29" s="18" t="n">
        <v>3159433.3333</v>
      </c>
      <c r="S29" s="18" t="n">
        <v>3344966.6667</v>
      </c>
      <c r="T29" s="18" t="n">
        <v>3530500</v>
      </c>
    </row>
    <row r="30" customFormat="false" ht="15" hidden="false" customHeight="false" outlineLevel="0" collapsed="false">
      <c r="A30" s="5" t="s">
        <v>68</v>
      </c>
      <c r="B30" s="2" t="s">
        <v>45</v>
      </c>
      <c r="C30" s="14" t="n">
        <f aca="false">C29-C28</f>
        <v>678833.3333</v>
      </c>
      <c r="D30" s="14" t="n">
        <f aca="false">D29-D28</f>
        <v>986666.6667</v>
      </c>
      <c r="E30" s="14" t="n">
        <f aca="false">E29-E28</f>
        <v>1294500</v>
      </c>
      <c r="F30" s="14" t="n">
        <f aca="false">F29-F28</f>
        <v>1190333.75</v>
      </c>
      <c r="G30" s="14" t="n">
        <f aca="false">G29-G28</f>
        <v>1316666.25</v>
      </c>
      <c r="H30" s="14" t="n">
        <f aca="false">H29-H28</f>
        <v>1443000</v>
      </c>
      <c r="I30" s="14" t="n">
        <f aca="false">I29-I28</f>
        <v>1359666.25</v>
      </c>
      <c r="J30" s="14" t="n">
        <f aca="false">J29-J28</f>
        <v>1370800.4167</v>
      </c>
      <c r="K30" s="14" t="n">
        <f aca="false">K29-K28</f>
        <v>1381933.3333</v>
      </c>
      <c r="L30" s="14" t="n">
        <f aca="false">L29-L28</f>
        <v>1393066.25</v>
      </c>
      <c r="M30" s="14" t="n">
        <f aca="false">M29-M28</f>
        <v>1404200.4167</v>
      </c>
      <c r="N30" s="14" t="n">
        <f aca="false">N29-N28</f>
        <v>1415333.3333</v>
      </c>
      <c r="O30" s="14" t="n">
        <f aca="false">O29-O28</f>
        <v>1331999.5833</v>
      </c>
      <c r="P30" s="14" t="n">
        <f aca="false">P29-P28</f>
        <v>1434200.4167</v>
      </c>
      <c r="Q30" s="14" t="n">
        <f aca="false">Q29-Q28</f>
        <v>1536400</v>
      </c>
      <c r="R30" s="14" t="n">
        <f aca="false">R29-R28</f>
        <v>1638599.5833</v>
      </c>
      <c r="S30" s="14" t="n">
        <f aca="false">S29-S28</f>
        <v>1740800.4167</v>
      </c>
      <c r="T30" s="14" t="n">
        <f aca="false">T29-T28</f>
        <v>1843000</v>
      </c>
    </row>
    <row r="31" customFormat="false" ht="15" hidden="false" customHeight="false" outlineLevel="0" collapsed="false">
      <c r="A31" s="16" t="s">
        <v>69</v>
      </c>
      <c r="B31" s="2" t="s">
        <v>45</v>
      </c>
      <c r="C31" s="14" t="n">
        <f aca="false">C24-C29</f>
        <v>-803833.3333</v>
      </c>
      <c r="D31" s="14" t="n">
        <f aca="false">D24-D29</f>
        <v>-1232666.6667</v>
      </c>
      <c r="E31" s="14" t="n">
        <f aca="false">E24-E29</f>
        <v>-1609900</v>
      </c>
      <c r="F31" s="14" t="n">
        <f aca="false">F24-F29</f>
        <v>-1606611.512</v>
      </c>
      <c r="G31" s="14" t="n">
        <f aca="false">G24-G29</f>
        <v>-1831783.70544</v>
      </c>
      <c r="H31" s="14" t="n">
        <f aca="false">H24-H29</f>
        <v>-2019189.2824466</v>
      </c>
      <c r="I31" s="14" t="n">
        <f aca="false">I24-I29</f>
        <v>-1918439.99099444</v>
      </c>
      <c r="J31" s="14" t="n">
        <f aca="false">J24-J29</f>
        <v>-1890907.4455744</v>
      </c>
      <c r="K31" s="14" t="n">
        <f aca="false">K24-K29</f>
        <v>-1827883.60732589</v>
      </c>
      <c r="L31" s="14" t="n">
        <f aca="false">L24-L29</f>
        <v>-1776875.30736042</v>
      </c>
      <c r="M31" s="14" t="n">
        <f aca="false">M24-M29</f>
        <v>-1685367.99020263</v>
      </c>
      <c r="N31" s="14" t="n">
        <f aca="false">N24-N29</f>
        <v>-1550831.12886979</v>
      </c>
      <c r="O31" s="14" t="n">
        <f aca="false">O24-O29</f>
        <v>-1238958.38386661</v>
      </c>
      <c r="P31" s="14" t="n">
        <f aca="false">P24-P29</f>
        <v>-1059444.37445112</v>
      </c>
      <c r="Q31" s="14" t="n">
        <f aca="false">Q24-Q29</f>
        <v>-823122.44377908</v>
      </c>
      <c r="R31" s="14" t="n">
        <f aca="false">R24-R29</f>
        <v>-505890.861583414</v>
      </c>
      <c r="S31" s="14" t="n">
        <f aca="false">S24-S29</f>
        <v>-105823.574395817</v>
      </c>
      <c r="T31" s="14" t="n">
        <f aca="false">T24-T29</f>
        <v>379123.662821335</v>
      </c>
    </row>
    <row r="32" customFormat="false" ht="15" hidden="false" customHeight="false" outlineLevel="0" collapsed="false">
      <c r="A32" s="16" t="s">
        <v>70</v>
      </c>
      <c r="B32" s="2" t="s">
        <v>62</v>
      </c>
      <c r="C32" s="14" t="n">
        <f aca="false">Рычаги!$B$23+C31</f>
        <v>49196166.6667</v>
      </c>
      <c r="D32" s="14" t="n">
        <f aca="false">C32+D31</f>
        <v>47963500</v>
      </c>
      <c r="E32" s="14" t="n">
        <f aca="false">D32+E31</f>
        <v>46353600</v>
      </c>
      <c r="F32" s="14" t="n">
        <f aca="false">E32+F31</f>
        <v>44746988.488</v>
      </c>
      <c r="G32" s="14" t="n">
        <f aca="false">F32+G31</f>
        <v>42915204.78256</v>
      </c>
      <c r="H32" s="14" t="n">
        <f aca="false">G32+H31</f>
        <v>40896015.5001134</v>
      </c>
      <c r="I32" s="14" t="n">
        <f aca="false">H32+I31</f>
        <v>38977575.509119</v>
      </c>
      <c r="J32" s="14" t="n">
        <f aca="false">I32+J31</f>
        <v>37086668.0635446</v>
      </c>
      <c r="K32" s="14" t="n">
        <f aca="false">J32+K31</f>
        <v>35258784.4562187</v>
      </c>
      <c r="L32" s="14" t="n">
        <f aca="false">K32+L31</f>
        <v>33481909.1488582</v>
      </c>
      <c r="M32" s="14" t="n">
        <f aca="false">L32+M31</f>
        <v>31796541.1586556</v>
      </c>
      <c r="N32" s="14" t="n">
        <f aca="false">M32+N31</f>
        <v>30245710.0297858</v>
      </c>
      <c r="O32" s="14" t="n">
        <f aca="false">N32+O31</f>
        <v>29006751.6459192</v>
      </c>
      <c r="P32" s="14" t="n">
        <f aca="false">O32+P31</f>
        <v>27947307.2714681</v>
      </c>
      <c r="Q32" s="14" t="n">
        <f aca="false">P32+Q31</f>
        <v>27124184.827689</v>
      </c>
      <c r="R32" s="14" t="n">
        <f aca="false">Q32+R31</f>
        <v>26618293.9661056</v>
      </c>
      <c r="S32" s="14" t="n">
        <f aca="false">R32+S31</f>
        <v>26512470.3917098</v>
      </c>
      <c r="T32" s="14" t="n">
        <f aca="false">S32+T31</f>
        <v>26891594.0545311</v>
      </c>
    </row>
    <row r="34" customFormat="false" ht="15" hidden="false" customHeight="false" outlineLevel="0" collapsed="false">
      <c r="A34" s="16" t="s">
        <v>71</v>
      </c>
    </row>
    <row r="35" customFormat="false" ht="15" hidden="false" customHeight="false" outlineLevel="0" collapsed="false">
      <c r="A35" s="5" t="s">
        <v>72</v>
      </c>
      <c r="B35" s="2" t="s">
        <v>62</v>
      </c>
      <c r="C35" s="14" t="n">
        <f aca="false">SUM(C29:E29)-Рычаги!$B$24</f>
        <v>0</v>
      </c>
    </row>
    <row r="36" customFormat="false" ht="15" hidden="false" customHeight="false" outlineLevel="0" collapsed="false">
      <c r="A36" s="5" t="s">
        <v>73</v>
      </c>
      <c r="B36" s="2" t="s">
        <v>62</v>
      </c>
      <c r="C36" s="14" t="n">
        <f aca="false">SUM(F29:H29)-Рычаги!$B$25</f>
        <v>0</v>
      </c>
    </row>
    <row r="37" customFormat="false" ht="15" hidden="false" customHeight="false" outlineLevel="0" collapsed="false">
      <c r="A37" s="5" t="s">
        <v>74</v>
      </c>
      <c r="B37" s="2" t="s">
        <v>62</v>
      </c>
      <c r="C37" s="14" t="n">
        <f aca="false">SUM(I29:N29)-Рычаги!$B$26</f>
        <v>0</v>
      </c>
    </row>
    <row r="38" customFormat="false" ht="15" hidden="false" customHeight="false" outlineLevel="0" collapsed="false">
      <c r="A38" s="5" t="s">
        <v>75</v>
      </c>
      <c r="B38" s="2" t="s">
        <v>62</v>
      </c>
      <c r="C38" s="14" t="n">
        <f aca="false">SUM(O29:T29)-Рычаги!$B$27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20"/>
  </cols>
  <sheetData>
    <row r="1" customFormat="false" ht="16.15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">
        <v>77</v>
      </c>
    </row>
    <row r="4" customFormat="false" ht="15" hidden="false" customHeight="false" outlineLevel="0" collapsed="false">
      <c r="A4" s="3" t="s">
        <v>78</v>
      </c>
      <c r="B4" s="3" t="s">
        <v>79</v>
      </c>
      <c r="C4" s="3" t="s">
        <v>80</v>
      </c>
      <c r="D4" s="3" t="s">
        <v>81</v>
      </c>
    </row>
    <row r="5" customFormat="false" ht="15" hidden="false" customHeight="false" outlineLevel="0" collapsed="false">
      <c r="A5" s="19" t="s">
        <v>82</v>
      </c>
      <c r="B5" s="6" t="n">
        <v>42000000</v>
      </c>
      <c r="C5" s="20" t="n">
        <f aca="false">Модель!T25</f>
        <v>42115483.953856</v>
      </c>
      <c r="D5" s="21" t="str">
        <f aca="false">IF(ABS(C5-B5)&lt;=1500000,"да","НЕТ")</f>
        <v>да</v>
      </c>
    </row>
    <row r="6" customFormat="false" ht="15" hidden="false" customHeight="false" outlineLevel="0" collapsed="false">
      <c r="A6" s="19" t="s">
        <v>83</v>
      </c>
      <c r="B6" s="6" t="n">
        <v>3600000</v>
      </c>
      <c r="C6" s="20" t="n">
        <f aca="false">Модель!T24-Модель!T17</f>
        <v>3509623.66282134</v>
      </c>
      <c r="D6" s="21" t="str">
        <f aca="false">IF(ABS(C6-B6)&lt;=300000,"да","НЕТ")</f>
        <v>да</v>
      </c>
    </row>
    <row r="7" customFormat="false" ht="15" hidden="false" customHeight="false" outlineLevel="0" collapsed="false">
      <c r="A7" s="19" t="s">
        <v>84</v>
      </c>
      <c r="B7" s="6" t="n">
        <v>3600000</v>
      </c>
      <c r="C7" s="20" t="n">
        <f aca="false">Модель!T24</f>
        <v>3909623.66282134</v>
      </c>
      <c r="D7" s="21" t="str">
        <f aca="false">IF(ABS(C7-B7)&lt;=300000,"да","НЕТ")</f>
        <v>НЕТ</v>
      </c>
    </row>
    <row r="8" customFormat="false" ht="15" hidden="false" customHeight="false" outlineLevel="0" collapsed="false">
      <c r="A8" s="19" t="s">
        <v>85</v>
      </c>
      <c r="B8" s="6" t="n">
        <v>4000000</v>
      </c>
      <c r="C8" s="20" t="n">
        <f aca="false">Модель!T29</f>
        <v>3530500</v>
      </c>
      <c r="D8" s="21" t="str">
        <f aca="false">IF(ABS(C8-B8)&lt;=300000,"да","НЕТ")</f>
        <v>НЕТ</v>
      </c>
    </row>
    <row r="9" customFormat="false" ht="15" hidden="false" customHeight="false" outlineLevel="0" collapsed="false">
      <c r="A9" s="19" t="s">
        <v>86</v>
      </c>
      <c r="B9" s="6" t="n">
        <v>-350000</v>
      </c>
      <c r="C9" s="20" t="n">
        <f aca="false">Модель!T31</f>
        <v>379123.662821335</v>
      </c>
      <c r="D9" s="21" t="str">
        <f aca="false">IF(ABS(C9-B9)&lt;=300000,"да","НЕТ")</f>
        <v>НЕТ</v>
      </c>
    </row>
    <row r="10" customFormat="false" ht="15" hidden="false" customHeight="false" outlineLevel="0" collapsed="false">
      <c r="A10" s="19" t="s">
        <v>87</v>
      </c>
      <c r="B10" s="6" t="n">
        <v>21000000</v>
      </c>
      <c r="C10" s="20" t="n">
        <f aca="false">Модель!T32</f>
        <v>26891594.0545311</v>
      </c>
      <c r="D10" s="21" t="str">
        <f aca="false">IF(ABS(C10-B10)&lt;=2000000,"да","НЕТ")</f>
        <v>НЕТ</v>
      </c>
    </row>
    <row r="11" customFormat="false" ht="15" hidden="false" customHeight="false" outlineLevel="0" collapsed="false">
      <c r="A11" s="19" t="s">
        <v>88</v>
      </c>
      <c r="B11" s="8" t="n">
        <v>10</v>
      </c>
      <c r="C11" s="22" t="n">
        <f aca="false">Модель!H7</f>
        <v>8.67671358</v>
      </c>
      <c r="D11" s="21" t="str">
        <f aca="false">IF(C11&gt;=B11*0.85,"да","НЕТ")</f>
        <v>да</v>
      </c>
    </row>
    <row r="12" customFormat="false" ht="15" hidden="false" customHeight="false" outlineLevel="0" collapsed="false">
      <c r="A12" s="19" t="s">
        <v>89</v>
      </c>
      <c r="B12" s="8" t="n">
        <v>100</v>
      </c>
      <c r="C12" s="22" t="n">
        <f aca="false">Модель!Q7</f>
        <v>102.799487817802</v>
      </c>
      <c r="D12" s="21" t="str">
        <f aca="false">IF(C12&gt;=B12*0.85,"да","НЕТ")</f>
        <v>да</v>
      </c>
    </row>
    <row r="13" customFormat="false" ht="15" hidden="false" customHeight="false" outlineLevel="0" collapsed="false">
      <c r="A13" s="19" t="s">
        <v>90</v>
      </c>
      <c r="B13" s="8" t="n">
        <v>157</v>
      </c>
      <c r="C13" s="22" t="n">
        <f aca="false">Модель!T7</f>
        <v>157.693040230126</v>
      </c>
      <c r="D13" s="21" t="str">
        <f aca="false">IF(ABS(C13-B13)&lt;=5,"да","НЕТ")</f>
        <v>да</v>
      </c>
    </row>
    <row r="14" customFormat="false" ht="15" hidden="false" customHeight="false" outlineLevel="0" collapsed="false">
      <c r="A14" s="19" t="s">
        <v>91</v>
      </c>
      <c r="B14" s="8" t="n">
        <v>10</v>
      </c>
      <c r="C14" s="22" t="n">
        <f aca="false">Модель!H20</f>
        <v>17.2376438975</v>
      </c>
      <c r="D14" s="21" t="str">
        <f aca="false">IF(C14&gt;=B14*0.85,"да","НЕТ")</f>
        <v>да</v>
      </c>
    </row>
    <row r="15" customFormat="false" ht="15" hidden="false" customHeight="false" outlineLevel="0" collapsed="false">
      <c r="A15" s="19" t="s">
        <v>92</v>
      </c>
      <c r="B15" s="8" t="n">
        <v>170</v>
      </c>
      <c r="C15" s="22" t="n">
        <f aca="false">Модель!Q20</f>
        <v>179.422703690869</v>
      </c>
      <c r="D15" s="21" t="str">
        <f aca="false">IF(C15&gt;=B15*0.85,"да","НЕТ")</f>
        <v>да</v>
      </c>
    </row>
    <row r="16" customFormat="false" ht="15" hidden="false" customHeight="false" outlineLevel="0" collapsed="false">
      <c r="A16" s="19" t="s">
        <v>93</v>
      </c>
      <c r="B16" s="8" t="n">
        <v>256</v>
      </c>
      <c r="C16" s="22" t="n">
        <f aca="false">Модель!T20</f>
        <v>292.264936305647</v>
      </c>
      <c r="D16" s="21" t="str">
        <f aca="false">IF(ABS(C16-B16)&lt;=10,"да","НЕТ")</f>
        <v>НЕТ</v>
      </c>
    </row>
    <row r="17" customFormat="false" ht="15" hidden="false" customHeight="false" outlineLevel="0" collapsed="false">
      <c r="A17" s="19" t="s">
        <v>94</v>
      </c>
      <c r="B17" s="8" t="n">
        <v>63500</v>
      </c>
      <c r="C17" s="22" t="n">
        <f aca="false">Модель!T14</f>
        <v>55969.8186758158</v>
      </c>
      <c r="D17" s="21" t="str">
        <f aca="false">IF(ABS(C17-B17)&lt;=2000,"да","НЕТ")</f>
        <v>НЕТ</v>
      </c>
    </row>
    <row r="18" customFormat="false" ht="15" hidden="false" customHeight="false" outlineLevel="0" collapsed="false">
      <c r="A18" s="19" t="s">
        <v>95</v>
      </c>
      <c r="B18" s="8" t="n">
        <v>135</v>
      </c>
      <c r="C18" s="22" t="n">
        <f aca="false">Модель!T27</f>
        <v>135</v>
      </c>
      <c r="D18" s="21" t="str">
        <f aca="false">IF(ABS(C18-B18)&lt;=5,"да","НЕТ")</f>
        <v>да</v>
      </c>
    </row>
    <row r="20" customFormat="false" ht="15" hidden="false" customHeight="false" outlineLevel="0" collapsed="false">
      <c r="A20" s="2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2026-09-28T11:11:00Z</dcterms:created>
  <dc:creator>openpyxl</dc:creator>
  <dc:description/>
  <dc:language>en-US</dc:language>
  <cp:lastModifiedBy/>
  <dcterms:modified xsi:type="dcterms:W3CDTF">2026-09-28T11:11:00Z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